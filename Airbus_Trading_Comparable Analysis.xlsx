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 Guide" sheetId="1" state="visible" r:id="rId3"/>
    <sheet name="Trading Comps" sheetId="2" state="visible" r:id="rId4"/>
    <sheet name="Implied Valu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5" authorId="0">
      <text>
        <r>
          <rPr>
            <sz val="10"/>
            <rFont val="Arial"/>
            <family val="2"/>
          </rPr>
          <t xml:space="preserve">NTM = next-twelve-months analyst consensus / company guidance (S&amp;P Global Market Intelligence, company guidance releases, Aug 2026). Where explicit consensus was unavailable, NTM Revenue is extrapolated from company-guided growth rate; EBITDA/EBIT (NTM) assume LTM margins held flat.</t>
        </r>
      </text>
    </comment>
  </commentList>
</comments>
</file>

<file path=xl/sharedStrings.xml><?xml version="1.0" encoding="utf-8"?>
<sst xmlns="http://schemas.openxmlformats.org/spreadsheetml/2006/main" count="196" uniqueCount="136">
  <si>
    <t xml:space="preserve">AIRBUS SE - COMPARABLE COMPANIES ANALYSIS (TRADING COMPS)</t>
  </si>
  <si>
    <t xml:space="preserve">LTM/TTM basis, native reporting currency per company - see Sources below for exact data dates</t>
  </si>
  <si>
    <t xml:space="preserve">COLOR LEGEND</t>
  </si>
  <si>
    <t xml:space="preserve">Blue text</t>
  </si>
  <si>
    <t xml:space="preserve">Hardcoded input, sourced from the company's own LTM financials as reported by S&amp;P Global Market Intelligence.</t>
  </si>
  <si>
    <t xml:space="preserve">Black text</t>
  </si>
  <si>
    <t xml:space="preserve">Formula calculated from other cells on the same sheet (Market Cap, EV, multiples, Mean/Median/Min/Max).</t>
  </si>
  <si>
    <t xml:space="preserve">Green text</t>
  </si>
  <si>
    <t xml:space="preserve">Link pulling a value from a different sheet in this workbook.</t>
  </si>
  <si>
    <t xml:space="preserve">Yellow fill</t>
  </si>
  <si>
    <t xml:space="preserve">Key output.</t>
  </si>
  <si>
    <t xml:space="preserve">Orange fill</t>
  </si>
  <si>
    <t xml:space="preserve">Airbus (the target) - shown alongside the comp set for reference, but excluded from the Mean/Median/Min/Max statistics.</t>
  </si>
  <si>
    <t xml:space="preserve">WHY MULTIPLES AREN'T CURRENCY-CONVERTED</t>
  </si>
  <si>
    <t xml:space="preserve">EV/Revenue, EV/EBITDA, EV/EBIT and P/E are unitless ratios - a USD company's EV/EBITDA is directly comparable to a EUR or GBP company's, since both numerator and denominator sit in the same currency for each company individually. Converting everyone to one currency would add FX-timing noise for no analytical benefit. Each comp's raw dollar/euro/pound figures are shown in its own reporting currency (clearly labeled); the resulting multiples are applied directly to Airbus's own EUR financials on the Implied Valuation tab, so the output is native EUR throughout - no FX conversion needed anywhere in the chain.</t>
  </si>
  <si>
    <t xml:space="preserve">TAB-BY-TAB WALKTHROUGH</t>
  </si>
  <si>
    <t xml:space="preserve">1. Trading Comps</t>
  </si>
  <si>
    <t xml:space="preserve">Input (LTM financials per comp), Calculations (Market Cap, EV, multiples), and Output (Mean/Median/Min/Max across the 6 comps) sections, clearly separated; extended with Operating Metrics (margins, ROE) and Forward (NTM) Multiples.</t>
  </si>
  <si>
    <t xml:space="preserve">2. Implied Valuation</t>
  </si>
  <si>
    <t xml:space="preserve">Applies the comp set's median (and min/max) multiples to Airbus's own LTM Revenue, EBITDA, EBIT and EPS to derive implied EV, Equity Value and share price under each method, plus the football field chart; also includes Football Field chart, Sensitivity table (multiple flex), and Key Takeaways.</t>
  </si>
  <si>
    <t xml:space="preserve">SOURCES (all via S&amp;P Global Market Intelligence, as republished by stockanalysis.com)</t>
  </si>
  <si>
    <t xml:space="preserve">-</t>
  </si>
  <si>
    <t xml:space="preserve">Airbus SE (EPA:AIR): data as of Jun 5, 2026 close.</t>
  </si>
  <si>
    <t xml:space="preserve">Boeing (NYSE:BA): data as of Aug 5, 2026 (real-time)/Jul 28, 2026 (financials).</t>
  </si>
  <si>
    <t xml:space="preserve">Safran SA (EPA:SAF): data as of Jun 23, 2026 close.</t>
  </si>
  <si>
    <t xml:space="preserve">RTX Corporation (NYSE:RTX): data as of Aug 5, 2026 (real-time).</t>
  </si>
  <si>
    <t xml:space="preserve">GE Aerospace (NYSE:GE): data as of Aug 5, 2026 (real-time).</t>
  </si>
  <si>
    <t xml:space="preserve">Rolls-Royce Holdings plc (LON:RR): data as of Jun 5, 2026 close. Share price quoted in GBX (pence) on the source page; converted to GBP (divide by 100) here to match GBP-denominated financials and EPS.</t>
  </si>
  <si>
    <t xml:space="preserve">Thales S.A. (EPA:HO): data as of Jun 19-20, 2026 close.</t>
  </si>
  <si>
    <t xml:space="preserve">NOTE</t>
  </si>
  <si>
    <t xml:space="preserve">Comp data was pulled on different dates across a roughly 2-month window (Jun-Aug 2026) since each reflects that company's own most recent trading day at the time of research - normal practice for a comp set built over a single research session, but worth refreshing to a single as-of date before using this in a live deal context.</t>
  </si>
  <si>
    <t xml:space="preserve">AIRBUS SE - COMPARABLE COMPANIES ANALYSIS</t>
  </si>
  <si>
    <t xml:space="preserve">INPUT - COMPARABLE COMPANY DATA (LTM / TTM, native reporting currency)</t>
  </si>
  <si>
    <t xml:space="preserve">Company</t>
  </si>
  <si>
    <t xml:space="preserve">Ticker</t>
  </si>
  <si>
    <t xml:space="preserve">Ccy</t>
  </si>
  <si>
    <t xml:space="preserve">Share Price</t>
  </si>
  <si>
    <t xml:space="preserve">Shares O/S (m)</t>
  </si>
  <si>
    <t xml:space="preserve">Net Debt (m)</t>
  </si>
  <si>
    <t xml:space="preserve">Revenue LTM (m)</t>
  </si>
  <si>
    <t xml:space="preserve">EBITDA LTM (m)</t>
  </si>
  <si>
    <t xml:space="preserve">EBIT LTM (m)</t>
  </si>
  <si>
    <t xml:space="preserve">Net Income LTM (m)</t>
  </si>
  <si>
    <t xml:space="preserve">EPS LTM</t>
  </si>
  <si>
    <t xml:space="preserve">Data Date</t>
  </si>
  <si>
    <t xml:space="preserve">Prior Yr Revenue (m)</t>
  </si>
  <si>
    <t xml:space="preserve">Shareholders' Equity (m)</t>
  </si>
  <si>
    <t xml:space="preserve">NTM Revenue (m)</t>
  </si>
  <si>
    <t xml:space="preserve">NTM EPS</t>
  </si>
  <si>
    <t xml:space="preserve">Boeing</t>
  </si>
  <si>
    <t xml:space="preserve">BA</t>
  </si>
  <si>
    <t xml:space="preserve">USD</t>
  </si>
  <si>
    <t xml:space="preserve">Aug 5, 2026</t>
  </si>
  <si>
    <t xml:space="preserve">Safran</t>
  </si>
  <si>
    <t xml:space="preserve">SAF</t>
  </si>
  <si>
    <t xml:space="preserve">EUR</t>
  </si>
  <si>
    <t xml:space="preserve">Jun 23, 2026</t>
  </si>
  <si>
    <t xml:space="preserve">RTX Corporation</t>
  </si>
  <si>
    <t xml:space="preserve">RTX</t>
  </si>
  <si>
    <t xml:space="preserve">GE Aerospace</t>
  </si>
  <si>
    <t xml:space="preserve">GE</t>
  </si>
  <si>
    <t xml:space="preserve">Rolls-Royce Holdings</t>
  </si>
  <si>
    <t xml:space="preserve">RR.</t>
  </si>
  <si>
    <t xml:space="preserve">GBP</t>
  </si>
  <si>
    <t xml:space="preserve">Jun 5, 2026</t>
  </si>
  <si>
    <t xml:space="preserve">Thales</t>
  </si>
  <si>
    <t xml:space="preserve">HO</t>
  </si>
  <si>
    <t xml:space="preserve">Jun 19, 2026</t>
  </si>
  <si>
    <t xml:space="preserve">Airbus SE (TARGET)</t>
  </si>
  <si>
    <t xml:space="preserve">AIR</t>
  </si>
  <si>
    <t xml:space="preserve">CALCULATIONS - MARKET CAP, ENTERPRISE VALUE &amp; TRADING MULTIPLES (LTM)</t>
  </si>
  <si>
    <t xml:space="preserve">Market Cap (m)</t>
  </si>
  <si>
    <t xml:space="preserve">Enterprise Value (m)</t>
  </si>
  <si>
    <t xml:space="preserve">EV / Revenue</t>
  </si>
  <si>
    <t xml:space="preserve">EV / EBITDA</t>
  </si>
  <si>
    <t xml:space="preserve">EV / EBIT</t>
  </si>
  <si>
    <t xml:space="preserve">P / E</t>
  </si>
  <si>
    <t xml:space="preserve">OUTPUT - SUMMARY STATISTICS (6 comparable companies; Airbus excluded)</t>
  </si>
  <si>
    <t xml:space="preserve">Statistic</t>
  </si>
  <si>
    <t xml:space="preserve">Mean</t>
  </si>
  <si>
    <t xml:space="preserve">Median</t>
  </si>
  <si>
    <t xml:space="preserve">Minimum</t>
  </si>
  <si>
    <t xml:space="preserve">Maximum</t>
  </si>
  <si>
    <t xml:space="preserve">OPERATING METRICS</t>
  </si>
  <si>
    <t xml:space="preserve">Revenue Growth %</t>
  </si>
  <si>
    <t xml:space="preserve">EBITDA Margin %</t>
  </si>
  <si>
    <t xml:space="preserve">EBIT Margin %</t>
  </si>
  <si>
    <t xml:space="preserve">Net Margin %</t>
  </si>
  <si>
    <t xml:space="preserve">ROE %</t>
  </si>
  <si>
    <t xml:space="preserve">FORWARD VALUATION MULTIPLES (NTM) - clearly distinct from LTM multiples above</t>
  </si>
  <si>
    <t xml:space="preserve">EV/Revenue (NTM)</t>
  </si>
  <si>
    <t xml:space="preserve">EV/EBITDA (NTM)</t>
  </si>
  <si>
    <t xml:space="preserve">EV/EBIT (NTM)</t>
  </si>
  <si>
    <t xml:space="preserve">P/E (NTM)</t>
  </si>
  <si>
    <t xml:space="preserve">AIRBUS SE - IMPLIED VALUATION FROM TRADING COMPS</t>
  </si>
  <si>
    <t xml:space="preserve">AIRBUS SE - LTM FINANCIALS (linked from Trading Comps)</t>
  </si>
  <si>
    <t xml:space="preserve">Share Price (EUR)</t>
  </si>
  <si>
    <t xml:space="preserve">Shares Outstanding (m)</t>
  </si>
  <si>
    <t xml:space="preserve">Net Debt (EURm)</t>
  </si>
  <si>
    <t xml:space="preserve">Revenue LTM (EURm)</t>
  </si>
  <si>
    <t xml:space="preserve">EBITDA LTM (EURm)</t>
  </si>
  <si>
    <t xml:space="preserve">EBIT LTM (EURm)</t>
  </si>
  <si>
    <t xml:space="preserve">Net Income LTM (EURm)</t>
  </si>
  <si>
    <t xml:space="preserve">EPS LTM (EUR)</t>
  </si>
  <si>
    <t xml:space="preserve">IMPLIED VALUATION BY METHODOLOGY (median comp multiple applied to Airbus)</t>
  </si>
  <si>
    <t xml:space="preserve">Methodology</t>
  </si>
  <si>
    <t xml:space="preserve">Median Multiple</t>
  </si>
  <si>
    <t xml:space="preserve">Airbus Metric (EURm)</t>
  </si>
  <si>
    <t xml:space="preserve">Implied EV (EURm)</t>
  </si>
  <si>
    <t xml:space="preserve">Implied Equity Value (EURm)</t>
  </si>
  <si>
    <t xml:space="preserve">Implied Share Price (EUR)</t>
  </si>
  <si>
    <t xml:space="preserve">Note: EV/Revenue and P/E ranges are wide because the comp set spans Boeing (margin-impaired, EV/EBITDA 32x on depressed EBITDA) to GE Aerospace (premium-rated, EV/EBITDA 38x on strong margins) - EV/EBITDA and EV/EBIT are the more defensible read for this comp set; treat EV/Revenue as a sanity check only.</t>
  </si>
  <si>
    <t xml:space="preserve">FOOTBALL FIELD - IMPLIED SHARE PRICE RANGE (EUR)</t>
  </si>
  <si>
    <t xml:space="preserve">Low (Min multiple)</t>
  </si>
  <si>
    <t xml:space="preserve">High (Max multiple)</t>
  </si>
  <si>
    <t xml:space="preserve">Bar Base (=Low)</t>
  </si>
  <si>
    <t xml:space="preserve">Bar Range (High-Low)</t>
  </si>
  <si>
    <t xml:space="preserve">Current Price (ref)</t>
  </si>
  <si>
    <t xml:space="preserve">Current Share Price (reference line)</t>
  </si>
  <si>
    <t xml:space="preserve">IMPLIED VALUATION SUMMARY (blended: EV/Revenue, EV/EBITDA, EV/EBIT, P/E)</t>
  </si>
  <si>
    <t xml:space="preserve">Current Share Price (reference)</t>
  </si>
  <si>
    <t xml:space="preserve">SENSITIVITY ANALYSIS - IMPLIED SHARE PRICE vs. MULTIPLE FLEX (EUR)</t>
  </si>
  <si>
    <t xml:space="preserve">Multiple Flex</t>
  </si>
  <si>
    <t xml:space="preserve">EV/Revenue</t>
  </si>
  <si>
    <t xml:space="preserve">EV/EBITDA</t>
  </si>
  <si>
    <t xml:space="preserve">EV/EBIT</t>
  </si>
  <si>
    <t xml:space="preserve">P/E</t>
  </si>
  <si>
    <t xml:space="preserve">Flex applied to each methodology's median comp multiple (Trading Comps row 33); 0% = base case shown in the Implied Valuation Summary above.</t>
  </si>
  <si>
    <t xml:space="preserve">KEY TAKEAWAYS</t>
  </si>
  <si>
    <t xml:space="preserve">Premium / (Discount) to Peers:</t>
  </si>
  <si>
    <t xml:space="preserve">Most Reliable Multiple:</t>
  </si>
  <si>
    <t xml:space="preserve">EV/EBITDA and EV/EBIT are most defensible - they neutralize D&amp;A and leverage differences across the comp set. EV/Revenue is distorted by Boeing's depressed margins vs. GE's premium margins (sanity check only); P/E is skewed by one-off net income swings at Boeing and Rolls-Royce.</t>
  </si>
  <si>
    <t xml:space="preserve">Main Valuation Drivers:</t>
  </si>
  <si>
    <t xml:space="preserve">Commercial aircraft delivery ramp-up and backlog execution, margin expansion as production stabilizes, growth in defense/space and services revenue, and EUR/USD/GBP FX effects across the peer set.</t>
  </si>
  <si>
    <t xml:space="preserve">Key Risks:</t>
  </si>
  <si>
    <t xml:space="preserve">Production ramp and supply-chain execution risk; wide dispersion in comp multiples (distressed vs. premium-rated peers) reduces precision; NTM figures rely on analyst consensus/guidance, not reported actuals; defense-budget and geopolitical sensitivity for several comps.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</si>
</sst>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\(#,##0.00\);\-"/>
    <numFmt numFmtId="166" formatCode="#,##0;\(#,##0\);\-"/>
    <numFmt numFmtId="167" formatCode="0.0\x"/>
    <numFmt numFmtId="168" formatCode="0.0%"/>
    <numFmt numFmtId="169" formatCode="\+0%;\-0%;0%"/>
    <numFmt numFmtId="170" formatCode="\+0.0%;\-0.0%;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F1F1F"/>
      <name val="Arial"/>
      <family val="0"/>
      <charset val="1"/>
    </font>
    <font>
      <b val="true"/>
      <sz val="11"/>
      <color rgb="FF1F1F1F"/>
      <name val="Calibri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name val="Arial"/>
      <family val="2"/>
    </font>
    <font>
      <i val="true"/>
      <sz val="9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CE4D6"/>
        <bgColor rgb="FFD9D9D9"/>
      </patternFill>
    </fill>
    <fill>
      <patternFill patternType="solid">
        <fgColor rgb="FFD9D9D9"/>
        <bgColor rgb="FFFCE4D6"/>
      </patternFill>
    </fill>
    <fill>
      <patternFill patternType="solid">
        <fgColor rgb="FF595959"/>
        <bgColor rgb="FF80808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>
        <color rgb="FF595959"/>
      </left>
      <right style="thin">
        <color rgb="FFA6A6A6"/>
      </right>
      <top style="medium">
        <color rgb="FF595959"/>
      </top>
      <bottom style="thin">
        <color rgb="FFA6A6A6"/>
      </bottom>
      <diagonal/>
    </border>
    <border diagonalUp="false" diagonalDown="false">
      <left style="thin">
        <color rgb="FFA6A6A6"/>
      </left>
      <right style="thin">
        <color rgb="FFA6A6A6"/>
      </right>
      <top style="medium">
        <color rgb="FF595959"/>
      </top>
      <bottom style="thin">
        <color rgb="FFA6A6A6"/>
      </bottom>
      <diagonal/>
    </border>
    <border diagonalUp="false" diagonalDown="false">
      <left style="thin">
        <color rgb="FFA6A6A6"/>
      </left>
      <right style="medium">
        <color rgb="FF595959"/>
      </right>
      <top style="medium">
        <color rgb="FF595959"/>
      </top>
      <bottom style="thin">
        <color rgb="FFA6A6A6"/>
      </bottom>
      <diagonal/>
    </border>
    <border diagonalUp="false" diagonalDown="false">
      <left style="medium">
        <color rgb="FF595959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 style="medium">
        <color rgb="FF595959"/>
      </right>
      <top style="thin">
        <color rgb="FFA6A6A6"/>
      </top>
      <bottom style="thin">
        <color rgb="FFA6A6A6"/>
      </bottom>
      <diagonal/>
    </border>
    <border diagonalUp="false" diagonalDown="false">
      <left style="medium">
        <color rgb="FF595959"/>
      </left>
      <right style="thin">
        <color rgb="FFA6A6A6"/>
      </right>
      <top style="thin">
        <color rgb="FFA6A6A6"/>
      </top>
      <bottom style="medium">
        <color rgb="FF595959"/>
      </bottom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medium">
        <color rgb="FF595959"/>
      </bottom>
      <diagonal/>
    </border>
    <border diagonalUp="false" diagonalDown="false">
      <left style="thin">
        <color rgb="FFA6A6A6"/>
      </left>
      <right style="medium">
        <color rgb="FF595959"/>
      </right>
      <top style="thin">
        <color rgb="FFA6A6A6"/>
      </top>
      <bottom style="medium">
        <color rgb="FF595959"/>
      </bottom>
      <diagonal/>
    </border>
    <border diagonalUp="false" diagonalDown="false">
      <left style="thin">
        <color rgb="FFA6A6A6"/>
      </left>
      <right style="thin">
        <color rgb="FFA6A6A6"/>
      </right>
      <top style="medium">
        <color rgb="FF595959"/>
      </top>
      <bottom style="medium">
        <color rgb="FF59595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2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A6A6A6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Football Field - Implied Share Price Range (EUR)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'Implied Valuation'!E24</c:f>
              <c:strCache>
                <c:ptCount val="1"/>
                <c:pt idx="0">
                  <c:v>Bar Base (=Low)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'Implied Valuation'!$A$25:$A$28</c:f>
              <c:strCache>
                <c:ptCount val="4"/>
                <c:pt idx="0">
                  <c:v>EV / Revenue</c:v>
                </c:pt>
                <c:pt idx="1">
                  <c:v>EV / EBITDA</c:v>
                </c:pt>
                <c:pt idx="2">
                  <c:v>EV / EBIT</c:v>
                </c:pt>
                <c:pt idx="3">
                  <c:v>P / E</c:v>
                </c:pt>
              </c:strCache>
            </c:strRef>
          </c:cat>
          <c:val>
            <c:numRef>
              <c:f>'Implied Valuation'!$E$25:$E$28</c:f>
              <c:numCache>
                <c:formatCode>#,##0.00;\(#,##0.00\);\-</c:formatCode>
                <c:ptCount val="4"/>
                <c:pt idx="0">
                  <c:v>207.082870996759</c:v>
                </c:pt>
                <c:pt idx="1">
                  <c:v>161.00136839618</c:v>
                </c:pt>
                <c:pt idx="2">
                  <c:v>156.381043041756</c:v>
                </c:pt>
                <c:pt idx="3">
                  <c:v>115.591304347826</c:v>
                </c:pt>
              </c:numCache>
            </c:numRef>
          </c:val>
        </c:ser>
        <c:ser>
          <c:idx val="1"/>
          <c:order val="1"/>
          <c:tx>
            <c:strRef>
              <c:f>'Implied Valuation'!F24</c:f>
              <c:strCache>
                <c:ptCount val="1"/>
                <c:pt idx="0">
                  <c:v>Bar Range (High-Low)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'Implied Valuation'!$A$25:$A$28</c:f>
              <c:strCache>
                <c:ptCount val="4"/>
                <c:pt idx="0">
                  <c:v>EV / Revenue</c:v>
                </c:pt>
                <c:pt idx="1">
                  <c:v>EV / EBITDA</c:v>
                </c:pt>
                <c:pt idx="2">
                  <c:v>EV / EBIT</c:v>
                </c:pt>
                <c:pt idx="3">
                  <c:v>P / E</c:v>
                </c:pt>
              </c:strCache>
            </c:strRef>
          </c:cat>
          <c:val>
            <c:numRef>
              <c:f>'Implied Valuation'!$F$25:$F$28</c:f>
              <c:numCache>
                <c:formatCode>#,##0.00;\(#,##0.00\);\-</c:formatCode>
                <c:ptCount val="4"/>
                <c:pt idx="0">
                  <c:v>534.501163060787</c:v>
                </c:pt>
                <c:pt idx="1">
                  <c:v>213.786508873778</c:v>
                </c:pt>
                <c:pt idx="2">
                  <c:v>170.183202812033</c:v>
                </c:pt>
                <c:pt idx="3">
                  <c:v>451.321606099935</c:v>
                </c:pt>
              </c:numCache>
            </c:numRef>
          </c:val>
        </c:ser>
        <c:gapWidth val="60"/>
        <c:overlap val="100"/>
        <c:axId val="66177556"/>
        <c:axId val="97509486"/>
      </c:barChart>
      <c:catAx>
        <c:axId val="6617755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Implied Share Price (EUR)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509486"/>
        <c:crosses val="autoZero"/>
        <c:auto val="1"/>
        <c:lblAlgn val="ctr"/>
        <c:lblOffset val="100"/>
        <c:noMultiLvlLbl val="0"/>
      </c:catAx>
      <c:valAx>
        <c:axId val="975094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775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Airbus SE - Football Field Valuation (Implied Share Price, EUR)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'Implied Valuation'!E24</c:f>
              <c:strCache>
                <c:ptCount val="1"/>
                <c:pt idx="0">
                  <c:v>Bar Base (=Low)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'Implied Valuation'!$A$25:$A$28</c:f>
              <c:strCache>
                <c:ptCount val="4"/>
                <c:pt idx="0">
                  <c:v>EV / Revenue</c:v>
                </c:pt>
                <c:pt idx="1">
                  <c:v>EV / EBITDA</c:v>
                </c:pt>
                <c:pt idx="2">
                  <c:v>EV / EBIT</c:v>
                </c:pt>
                <c:pt idx="3">
                  <c:v>P / E</c:v>
                </c:pt>
              </c:strCache>
            </c:strRef>
          </c:cat>
          <c:val>
            <c:numRef>
              <c:f>'Implied Valuation'!$E$25:$E$28</c:f>
              <c:numCache>
                <c:formatCode>#,##0.00;\(#,##0.00\);\-</c:formatCode>
                <c:ptCount val="4"/>
                <c:pt idx="0">
                  <c:v>207.082870996759</c:v>
                </c:pt>
                <c:pt idx="1">
                  <c:v>161.00136839618</c:v>
                </c:pt>
                <c:pt idx="2">
                  <c:v>156.381043041756</c:v>
                </c:pt>
                <c:pt idx="3">
                  <c:v>115.591304347826</c:v>
                </c:pt>
              </c:numCache>
            </c:numRef>
          </c:val>
        </c:ser>
        <c:ser>
          <c:idx val="1"/>
          <c:order val="1"/>
          <c:tx>
            <c:strRef>
              <c:f>'Implied Valuation'!F24</c:f>
              <c:strCache>
                <c:ptCount val="1"/>
                <c:pt idx="0">
                  <c:v>Bar Range (High-Low)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'Implied Valuation'!$A$25:$A$28</c:f>
              <c:strCache>
                <c:ptCount val="4"/>
                <c:pt idx="0">
                  <c:v>EV / Revenue</c:v>
                </c:pt>
                <c:pt idx="1">
                  <c:v>EV / EBITDA</c:v>
                </c:pt>
                <c:pt idx="2">
                  <c:v>EV / EBIT</c:v>
                </c:pt>
                <c:pt idx="3">
                  <c:v>P / E</c:v>
                </c:pt>
              </c:strCache>
            </c:strRef>
          </c:cat>
          <c:val>
            <c:numRef>
              <c:f>'Implied Valuation'!$F$25:$F$28</c:f>
              <c:numCache>
                <c:formatCode>#,##0.00;\(#,##0.00\);\-</c:formatCode>
                <c:ptCount val="4"/>
                <c:pt idx="0">
                  <c:v>534.501163060787</c:v>
                </c:pt>
                <c:pt idx="1">
                  <c:v>213.786508873778</c:v>
                </c:pt>
                <c:pt idx="2">
                  <c:v>170.183202812033</c:v>
                </c:pt>
                <c:pt idx="3">
                  <c:v>451.321606099935</c:v>
                </c:pt>
              </c:numCache>
            </c:numRef>
          </c:val>
        </c:ser>
        <c:gapWidth val="60"/>
        <c:overlap val="100"/>
        <c:axId val="30157790"/>
        <c:axId val="79651258"/>
      </c:barChart>
      <c:lineChart>
        <c:grouping val="stacked"/>
        <c:varyColors val="0"/>
        <c:ser>
          <c:idx val="2"/>
          <c:order val="2"/>
          <c:tx>
            <c:strRef>
              <c:f>'Implied Valuation'!G24</c:f>
              <c:strCache>
                <c:ptCount val="1"/>
                <c:pt idx="0">
                  <c:v>Current Price (ref)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diamond"/>
            <c:size val="9"/>
            <c:spPr>
              <a:solidFill>
                <a:srgbClr val="c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'Implied Valuation'!$A$25:$A$28</c:f>
              <c:strCache>
                <c:ptCount val="4"/>
                <c:pt idx="0">
                  <c:v>EV / Revenue</c:v>
                </c:pt>
                <c:pt idx="1">
                  <c:v>EV / EBITDA</c:v>
                </c:pt>
                <c:pt idx="2">
                  <c:v>EV / EBIT</c:v>
                </c:pt>
                <c:pt idx="3">
                  <c:v>P / E</c:v>
                </c:pt>
              </c:strCache>
            </c:strRef>
          </c:cat>
          <c:val>
            <c:numRef>
              <c:f>'Implied Valuation'!$G$25:$G$28</c:f>
              <c:numCache>
                <c:formatCode>#,##0.00;\(#,##0.00\);\-</c:formatCode>
                <c:ptCount val="4"/>
                <c:pt idx="0">
                  <c:v>178.96</c:v>
                </c:pt>
                <c:pt idx="1">
                  <c:v>178.96</c:v>
                </c:pt>
                <c:pt idx="2">
                  <c:v>178.96</c:v>
                </c:pt>
                <c:pt idx="3">
                  <c:v>178.96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0157790"/>
        <c:axId val="79651258"/>
      </c:lineChart>
      <c:catAx>
        <c:axId val="3015779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Implied Share Price (EUR)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651258"/>
        <c:crosses val="autoZero"/>
        <c:auto val="1"/>
        <c:lblAlgn val="ctr"/>
        <c:lblOffset val="100"/>
        <c:noMultiLvlLbl val="0"/>
      </c:catAx>
      <c:valAx>
        <c:axId val="796512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;\(#,##0.0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1577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181800</xdr:rowOff>
    </xdr:from>
    <xdr:to>
      <xdr:col>5</xdr:col>
      <xdr:colOff>132120</xdr:colOff>
      <xdr:row>47</xdr:row>
      <xdr:rowOff>66240</xdr:rowOff>
    </xdr:to>
    <xdr:graphicFrame>
      <xdr:nvGraphicFramePr>
        <xdr:cNvPr id="0" name="Chart 1"/>
        <xdr:cNvGraphicFramePr/>
      </xdr:nvGraphicFramePr>
      <xdr:xfrm>
        <a:off x="0" y="6087240"/>
        <a:ext cx="6475680" cy="322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41</xdr:row>
      <xdr:rowOff>0</xdr:rowOff>
    </xdr:from>
    <xdr:to>
      <xdr:col>5</xdr:col>
      <xdr:colOff>855000</xdr:colOff>
      <xdr:row>57</xdr:row>
      <xdr:rowOff>190440</xdr:rowOff>
    </xdr:to>
    <xdr:graphicFrame>
      <xdr:nvGraphicFramePr>
        <xdr:cNvPr id="1" name="Chart 2"/>
        <xdr:cNvGraphicFramePr/>
      </xdr:nvGraphicFramePr>
      <xdr:xfrm>
        <a:off x="0" y="8105760"/>
        <a:ext cx="719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05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1" t="s">
        <v>1</v>
      </c>
    </row>
    <row r="6" customFormat="false" ht="15" hidden="false" customHeight="true" outlineLevel="0" collapsed="false">
      <c r="B6" s="3" t="s">
        <v>2</v>
      </c>
    </row>
    <row r="7" customFormat="false" ht="15" hidden="false" customHeight="true" outlineLevel="0" collapsed="false">
      <c r="B7" s="4" t="s">
        <v>3</v>
      </c>
      <c r="C7" s="5" t="s">
        <v>4</v>
      </c>
    </row>
    <row r="8" customFormat="false" ht="15" hidden="false" customHeight="true" outlineLevel="0" collapsed="false">
      <c r="B8" s="6" t="s">
        <v>5</v>
      </c>
      <c r="C8" s="5" t="s">
        <v>6</v>
      </c>
    </row>
    <row r="9" customFormat="false" ht="15" hidden="false" customHeight="true" outlineLevel="0" collapsed="false">
      <c r="B9" s="7" t="s">
        <v>7</v>
      </c>
      <c r="C9" s="5" t="s">
        <v>8</v>
      </c>
    </row>
    <row r="10" customFormat="false" ht="15" hidden="false" customHeight="true" outlineLevel="0" collapsed="false">
      <c r="B10" s="8" t="s">
        <v>9</v>
      </c>
      <c r="C10" s="5" t="s">
        <v>10</v>
      </c>
    </row>
    <row r="11" customFormat="false" ht="15" hidden="false" customHeight="true" outlineLevel="0" collapsed="false">
      <c r="B11" s="9" t="s">
        <v>11</v>
      </c>
      <c r="C11" s="5" t="s">
        <v>12</v>
      </c>
    </row>
    <row r="13" customFormat="false" ht="15" hidden="false" customHeight="true" outlineLevel="0" collapsed="false">
      <c r="B13" s="3" t="s">
        <v>13</v>
      </c>
    </row>
    <row r="14" customFormat="false" ht="15" hidden="false" customHeight="true" outlineLevel="0" collapsed="false">
      <c r="C14" s="10" t="s">
        <v>14</v>
      </c>
    </row>
    <row r="15" customFormat="false" ht="15" hidden="false" customHeight="true" outlineLevel="0" collapsed="false">
      <c r="C15" s="10"/>
    </row>
    <row r="16" customFormat="false" ht="15" hidden="false" customHeight="true" outlineLevel="0" collapsed="false">
      <c r="C16" s="10"/>
    </row>
    <row r="17" customFormat="false" ht="15" hidden="false" customHeight="true" outlineLevel="0" collapsed="false">
      <c r="C17" s="10"/>
    </row>
    <row r="18" customFormat="false" ht="15" hidden="false" customHeight="true" outlineLevel="0" collapsed="false">
      <c r="C18" s="10"/>
    </row>
    <row r="19" customFormat="false" ht="15" hidden="false" customHeight="true" outlineLevel="0" collapsed="false">
      <c r="C19" s="10"/>
    </row>
    <row r="22" customFormat="false" ht="15" hidden="false" customHeight="true" outlineLevel="0" collapsed="false">
      <c r="B22" s="3" t="s">
        <v>15</v>
      </c>
    </row>
    <row r="24" customFormat="false" ht="23.25" hidden="false" customHeight="true" outlineLevel="0" collapsed="false">
      <c r="B24" s="11" t="s">
        <v>16</v>
      </c>
      <c r="C24" s="12" t="s">
        <v>17</v>
      </c>
    </row>
    <row r="25" customFormat="false" ht="23.25" hidden="false" customHeight="true" outlineLevel="0" collapsed="false">
      <c r="B25" s="11" t="s">
        <v>18</v>
      </c>
      <c r="C25" s="12" t="s">
        <v>19</v>
      </c>
    </row>
    <row r="28" customFormat="false" ht="15" hidden="false" customHeight="true" outlineLevel="0" collapsed="false">
      <c r="B28" s="3" t="s">
        <v>20</v>
      </c>
    </row>
    <row r="29" customFormat="false" ht="15" hidden="false" customHeight="true" outlineLevel="0" collapsed="false">
      <c r="B29" s="6" t="s">
        <v>21</v>
      </c>
      <c r="C29" s="13" t="s">
        <v>22</v>
      </c>
    </row>
    <row r="30" customFormat="false" ht="15" hidden="false" customHeight="true" outlineLevel="0" collapsed="false">
      <c r="B30" s="6" t="s">
        <v>21</v>
      </c>
      <c r="C30" s="13" t="s">
        <v>23</v>
      </c>
    </row>
    <row r="31" customFormat="false" ht="15" hidden="false" customHeight="true" outlineLevel="0" collapsed="false">
      <c r="B31" s="6" t="s">
        <v>21</v>
      </c>
      <c r="C31" s="13" t="s">
        <v>24</v>
      </c>
    </row>
    <row r="32" customFormat="false" ht="15" hidden="false" customHeight="true" outlineLevel="0" collapsed="false">
      <c r="B32" s="6" t="s">
        <v>21</v>
      </c>
      <c r="C32" s="13" t="s">
        <v>25</v>
      </c>
    </row>
    <row r="33" customFormat="false" ht="15" hidden="false" customHeight="true" outlineLevel="0" collapsed="false">
      <c r="B33" s="6" t="s">
        <v>21</v>
      </c>
      <c r="C33" s="13" t="s">
        <v>26</v>
      </c>
    </row>
    <row r="34" customFormat="false" ht="18.75" hidden="false" customHeight="true" outlineLevel="0" collapsed="false">
      <c r="B34" s="6" t="s">
        <v>21</v>
      </c>
      <c r="C34" s="13" t="s">
        <v>27</v>
      </c>
    </row>
    <row r="35" customFormat="false" ht="15" hidden="false" customHeight="true" outlineLevel="0" collapsed="false">
      <c r="B35" s="6" t="s">
        <v>21</v>
      </c>
      <c r="C35" s="13" t="s">
        <v>28</v>
      </c>
    </row>
    <row r="37" customFormat="false" ht="15" hidden="false" customHeight="true" outlineLevel="0" collapsed="false">
      <c r="B37" s="3" t="s">
        <v>29</v>
      </c>
    </row>
    <row r="38" customFormat="false" ht="27.75" hidden="false" customHeight="true" outlineLevel="0" collapsed="false">
      <c r="C38" s="13" t="s">
        <v>30</v>
      </c>
    </row>
  </sheetData>
  <mergeCells count="1">
    <mergeCell ref="C14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9"/>
    <col collapsed="false" customWidth="true" hidden="false" outlineLevel="0" max="11" min="4" style="1" width="13"/>
    <col collapsed="false" customWidth="true" hidden="false" outlineLevel="0" max="12" min="12" style="1" width="15"/>
  </cols>
  <sheetData>
    <row r="1" customFormat="false" ht="17.25" hidden="false" customHeight="true" outlineLevel="0" collapsed="false">
      <c r="A1" s="2" t="s">
        <v>31</v>
      </c>
    </row>
    <row r="3" customFormat="false" ht="15" hidden="false" customHeight="true" outlineLevel="0" collapsed="false">
      <c r="A3" s="14" t="s">
        <v>32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5" customFormat="false" ht="15" hidden="false" customHeight="true" outlineLevel="0" collapsed="false">
      <c r="A5" s="16" t="s">
        <v>33</v>
      </c>
      <c r="B5" s="17" t="s">
        <v>34</v>
      </c>
      <c r="C5" s="17" t="s">
        <v>35</v>
      </c>
      <c r="D5" s="17" t="s">
        <v>36</v>
      </c>
      <c r="E5" s="17" t="s">
        <v>37</v>
      </c>
      <c r="F5" s="17" t="s">
        <v>38</v>
      </c>
      <c r="G5" s="17" t="s">
        <v>39</v>
      </c>
      <c r="H5" s="17" t="s">
        <v>40</v>
      </c>
      <c r="I5" s="17" t="s">
        <v>41</v>
      </c>
      <c r="J5" s="17" t="s">
        <v>42</v>
      </c>
      <c r="K5" s="17" t="s">
        <v>43</v>
      </c>
      <c r="L5" s="18" t="s">
        <v>44</v>
      </c>
      <c r="M5" s="17" t="s">
        <v>45</v>
      </c>
      <c r="N5" s="18" t="s">
        <v>46</v>
      </c>
      <c r="O5" s="16" t="s">
        <v>47</v>
      </c>
      <c r="P5" s="18" t="s">
        <v>48</v>
      </c>
    </row>
    <row r="6" customFormat="false" ht="15" hidden="false" customHeight="true" outlineLevel="0" collapsed="false">
      <c r="A6" s="19" t="s">
        <v>49</v>
      </c>
      <c r="B6" s="20" t="s">
        <v>50</v>
      </c>
      <c r="C6" s="20" t="s">
        <v>51</v>
      </c>
      <c r="D6" s="21" t="n">
        <v>240.02</v>
      </c>
      <c r="E6" s="22" t="n">
        <v>790.37</v>
      </c>
      <c r="F6" s="22" t="n">
        <v>29070</v>
      </c>
      <c r="G6" s="22" t="n">
        <v>94000</v>
      </c>
      <c r="H6" s="22" t="n">
        <v>6800</v>
      </c>
      <c r="I6" s="22" t="n">
        <v>4600</v>
      </c>
      <c r="J6" s="22" t="n">
        <v>2090</v>
      </c>
      <c r="K6" s="21" t="n">
        <v>2.68</v>
      </c>
      <c r="L6" s="23" t="s">
        <v>52</v>
      </c>
      <c r="M6" s="22" t="n">
        <v>75330</v>
      </c>
      <c r="N6" s="24" t="n">
        <v>6115</v>
      </c>
      <c r="O6" s="25" t="n">
        <v>97000</v>
      </c>
      <c r="P6" s="26" t="n">
        <v>2.85</v>
      </c>
    </row>
    <row r="7" customFormat="false" ht="15" hidden="false" customHeight="true" outlineLevel="0" collapsed="false">
      <c r="A7" s="19" t="s">
        <v>53</v>
      </c>
      <c r="B7" s="20" t="s">
        <v>54</v>
      </c>
      <c r="C7" s="20" t="s">
        <v>55</v>
      </c>
      <c r="D7" s="21" t="n">
        <v>328.2</v>
      </c>
      <c r="E7" s="22" t="n">
        <v>414.61</v>
      </c>
      <c r="F7" s="22" t="n">
        <v>-1520</v>
      </c>
      <c r="G7" s="22" t="n">
        <v>31190</v>
      </c>
      <c r="H7" s="22" t="n">
        <v>5910</v>
      </c>
      <c r="I7" s="22" t="n">
        <v>4560</v>
      </c>
      <c r="J7" s="22" t="n">
        <v>7180</v>
      </c>
      <c r="K7" s="21" t="n">
        <v>17.17</v>
      </c>
      <c r="L7" s="23" t="s">
        <v>56</v>
      </c>
      <c r="M7" s="22" t="n">
        <v>27230</v>
      </c>
      <c r="N7" s="24" t="n">
        <v>12900</v>
      </c>
      <c r="O7" s="25" t="n">
        <v>34930</v>
      </c>
      <c r="P7" s="26" t="n">
        <v>19.5</v>
      </c>
    </row>
    <row r="8" customFormat="false" ht="15" hidden="false" customHeight="true" outlineLevel="0" collapsed="false">
      <c r="A8" s="19" t="s">
        <v>57</v>
      </c>
      <c r="B8" s="20" t="s">
        <v>58</v>
      </c>
      <c r="C8" s="20" t="s">
        <v>51</v>
      </c>
      <c r="D8" s="21" t="n">
        <v>221.95</v>
      </c>
      <c r="E8" s="22" t="n">
        <v>1350</v>
      </c>
      <c r="F8" s="22" t="n">
        <v>30550</v>
      </c>
      <c r="G8" s="22" t="n">
        <v>93500</v>
      </c>
      <c r="H8" s="22" t="n">
        <v>14890</v>
      </c>
      <c r="I8" s="22" t="n">
        <v>10490</v>
      </c>
      <c r="J8" s="22" t="n">
        <v>7740</v>
      </c>
      <c r="K8" s="21" t="n">
        <v>5.68</v>
      </c>
      <c r="L8" s="23" t="s">
        <v>52</v>
      </c>
      <c r="M8" s="22" t="n">
        <v>85200</v>
      </c>
      <c r="N8" s="24" t="n">
        <v>66900</v>
      </c>
      <c r="O8" s="25" t="n">
        <v>94000</v>
      </c>
      <c r="P8" s="26" t="n">
        <v>6.88</v>
      </c>
    </row>
    <row r="9" customFormat="false" ht="15" hidden="false" customHeight="true" outlineLevel="0" collapsed="false">
      <c r="A9" s="19" t="s">
        <v>59</v>
      </c>
      <c r="B9" s="20" t="s">
        <v>60</v>
      </c>
      <c r="C9" s="20" t="s">
        <v>51</v>
      </c>
      <c r="D9" s="21" t="n">
        <v>381.22</v>
      </c>
      <c r="E9" s="22" t="n">
        <v>1040</v>
      </c>
      <c r="F9" s="22" t="n">
        <v>10290</v>
      </c>
      <c r="G9" s="22" t="n">
        <v>50640</v>
      </c>
      <c r="H9" s="22" t="n">
        <v>10590</v>
      </c>
      <c r="I9" s="22" t="n">
        <v>9360</v>
      </c>
      <c r="J9" s="22" t="n">
        <v>8970</v>
      </c>
      <c r="K9" s="21" t="n">
        <v>8.49</v>
      </c>
      <c r="L9" s="23" t="s">
        <v>52</v>
      </c>
      <c r="M9" s="22" t="n">
        <v>41610</v>
      </c>
      <c r="N9" s="24" t="n">
        <v>19745</v>
      </c>
      <c r="O9" s="25" t="n">
        <v>59800</v>
      </c>
      <c r="P9" s="26" t="n">
        <v>7.5</v>
      </c>
    </row>
    <row r="10" customFormat="false" ht="15" hidden="false" customHeight="true" outlineLevel="0" collapsed="false">
      <c r="A10" s="19" t="s">
        <v>61</v>
      </c>
      <c r="B10" s="20" t="s">
        <v>62</v>
      </c>
      <c r="C10" s="20" t="s">
        <v>63</v>
      </c>
      <c r="D10" s="21" t="n">
        <v>12.6</v>
      </c>
      <c r="E10" s="22" t="n">
        <v>8250</v>
      </c>
      <c r="F10" s="22" t="n">
        <v>-1890</v>
      </c>
      <c r="G10" s="22" t="n">
        <v>21210</v>
      </c>
      <c r="H10" s="22" t="n">
        <v>4600</v>
      </c>
      <c r="I10" s="22" t="n">
        <v>4190</v>
      </c>
      <c r="J10" s="22" t="n">
        <v>5840</v>
      </c>
      <c r="K10" s="21" t="n">
        <v>0.69</v>
      </c>
      <c r="L10" s="23" t="s">
        <v>64</v>
      </c>
      <c r="M10" s="22" t="n">
        <v>18910</v>
      </c>
      <c r="N10" s="24" t="n">
        <v>937</v>
      </c>
      <c r="O10" s="25" t="n">
        <v>24390</v>
      </c>
      <c r="P10" s="26" t="n">
        <v>0.79</v>
      </c>
    </row>
    <row r="11" customFormat="false" ht="15" hidden="false" customHeight="true" outlineLevel="0" collapsed="false">
      <c r="A11" s="19" t="s">
        <v>65</v>
      </c>
      <c r="B11" s="20" t="s">
        <v>66</v>
      </c>
      <c r="C11" s="20" t="s">
        <v>55</v>
      </c>
      <c r="D11" s="21" t="n">
        <v>232.4</v>
      </c>
      <c r="E11" s="22" t="n">
        <v>205.48</v>
      </c>
      <c r="F11" s="22" t="n">
        <v>1640</v>
      </c>
      <c r="G11" s="22" t="n">
        <v>22140</v>
      </c>
      <c r="H11" s="22" t="n">
        <v>3010</v>
      </c>
      <c r="I11" s="22" t="n">
        <v>2180</v>
      </c>
      <c r="J11" s="22" t="n">
        <v>1670</v>
      </c>
      <c r="K11" s="21" t="n">
        <v>8.13</v>
      </c>
      <c r="L11" s="23" t="s">
        <v>67</v>
      </c>
      <c r="M11" s="22" t="n">
        <v>19920</v>
      </c>
      <c r="N11" s="24" t="n">
        <v>7915</v>
      </c>
      <c r="O11" s="25" t="n">
        <v>23910</v>
      </c>
      <c r="P11" s="26" t="n">
        <v>8.78</v>
      </c>
    </row>
    <row r="12" customFormat="false" ht="15" hidden="false" customHeight="true" outlineLevel="0" collapsed="false">
      <c r="A12" s="27"/>
      <c r="B12" s="28"/>
      <c r="C12" s="28"/>
      <c r="D12" s="29"/>
      <c r="E12" s="29"/>
      <c r="F12" s="29"/>
      <c r="G12" s="29"/>
      <c r="H12" s="29"/>
      <c r="I12" s="29"/>
      <c r="J12" s="29"/>
      <c r="K12" s="29"/>
      <c r="L12" s="30"/>
      <c r="M12" s="31"/>
      <c r="N12" s="32"/>
      <c r="O12" s="33"/>
      <c r="P12" s="32"/>
    </row>
    <row r="13" customFormat="false" ht="15" hidden="false" customHeight="true" outlineLevel="0" collapsed="false">
      <c r="A13" s="34" t="s">
        <v>68</v>
      </c>
      <c r="B13" s="35" t="s">
        <v>69</v>
      </c>
      <c r="C13" s="35" t="s">
        <v>55</v>
      </c>
      <c r="D13" s="36" t="n">
        <v>178.96</v>
      </c>
      <c r="E13" s="37" t="n">
        <v>787.23</v>
      </c>
      <c r="F13" s="37" t="n">
        <v>-1210</v>
      </c>
      <c r="G13" s="37" t="n">
        <v>72530</v>
      </c>
      <c r="H13" s="37" t="n">
        <v>7650</v>
      </c>
      <c r="I13" s="37" t="n">
        <v>5380</v>
      </c>
      <c r="J13" s="37" t="n">
        <v>5010</v>
      </c>
      <c r="K13" s="36" t="n">
        <v>6.33</v>
      </c>
      <c r="L13" s="38" t="s">
        <v>64</v>
      </c>
      <c r="M13" s="37" t="n">
        <v>69940</v>
      </c>
      <c r="N13" s="39" t="n">
        <v>25370</v>
      </c>
      <c r="O13" s="40" t="n">
        <v>75430</v>
      </c>
      <c r="P13" s="41" t="n">
        <v>6.71</v>
      </c>
    </row>
    <row r="16" customFormat="false" ht="15" hidden="false" customHeight="true" outlineLevel="0" collapsed="false">
      <c r="A16" s="14" t="s">
        <v>70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8" customFormat="false" ht="15" hidden="false" customHeight="true" outlineLevel="0" collapsed="false">
      <c r="A18" s="16" t="s">
        <v>33</v>
      </c>
      <c r="B18" s="17" t="s">
        <v>71</v>
      </c>
      <c r="C18" s="17" t="s">
        <v>72</v>
      </c>
      <c r="D18" s="17" t="s">
        <v>73</v>
      </c>
      <c r="E18" s="17" t="s">
        <v>74</v>
      </c>
      <c r="F18" s="17" t="s">
        <v>75</v>
      </c>
      <c r="G18" s="18" t="s">
        <v>76</v>
      </c>
    </row>
    <row r="19" customFormat="false" ht="15" hidden="false" customHeight="true" outlineLevel="0" collapsed="false">
      <c r="A19" s="19" t="str">
        <f aca="false">A6</f>
        <v>Boeing</v>
      </c>
      <c r="B19" s="42" t="n">
        <f aca="false">D6*E6</f>
        <v>189704.6074</v>
      </c>
      <c r="C19" s="42" t="n">
        <f aca="false">B19+F6</f>
        <v>218774.6074</v>
      </c>
      <c r="D19" s="43" t="n">
        <f aca="false">C19/G6</f>
        <v>2.32738944042553</v>
      </c>
      <c r="E19" s="43" t="n">
        <f aca="false">C19/H6</f>
        <v>32.1727363823529</v>
      </c>
      <c r="F19" s="43" t="n">
        <f aca="false">C19/I6</f>
        <v>47.5596972608696</v>
      </c>
      <c r="G19" s="44" t="n">
        <f aca="false">D6/K6</f>
        <v>89.5597014925373</v>
      </c>
    </row>
    <row r="20" customFormat="false" ht="15" hidden="false" customHeight="true" outlineLevel="0" collapsed="false">
      <c r="A20" s="19" t="str">
        <f aca="false">A7</f>
        <v>Safran</v>
      </c>
      <c r="B20" s="42" t="n">
        <f aca="false">D7*E7</f>
        <v>136075.002</v>
      </c>
      <c r="C20" s="42" t="n">
        <f aca="false">B20+F7</f>
        <v>134555.002</v>
      </c>
      <c r="D20" s="43" t="n">
        <f aca="false">C20/G7</f>
        <v>4.31404302661109</v>
      </c>
      <c r="E20" s="43" t="n">
        <f aca="false">C20/H7</f>
        <v>22.7673438240271</v>
      </c>
      <c r="F20" s="43" t="n">
        <f aca="false">C20/I7</f>
        <v>29.507675877193</v>
      </c>
      <c r="G20" s="44" t="n">
        <f aca="false">D7/K7</f>
        <v>19.1147350029121</v>
      </c>
    </row>
    <row r="21" customFormat="false" ht="15" hidden="false" customHeight="true" outlineLevel="0" collapsed="false">
      <c r="A21" s="19" t="str">
        <f aca="false">A8</f>
        <v>RTX Corporation</v>
      </c>
      <c r="B21" s="42" t="n">
        <f aca="false">D8*E8</f>
        <v>299632.5</v>
      </c>
      <c r="C21" s="42" t="n">
        <f aca="false">B21+F8</f>
        <v>330182.5</v>
      </c>
      <c r="D21" s="43" t="n">
        <f aca="false">C21/G8</f>
        <v>3.53136363636364</v>
      </c>
      <c r="E21" s="43" t="n">
        <f aca="false">C21/H8</f>
        <v>22.1747817327065</v>
      </c>
      <c r="F21" s="43" t="n">
        <f aca="false">C21/I8</f>
        <v>31.4759294566254</v>
      </c>
      <c r="G21" s="44" t="n">
        <f aca="false">D8/K8</f>
        <v>39.0757042253521</v>
      </c>
    </row>
    <row r="22" customFormat="false" ht="15" hidden="false" customHeight="true" outlineLevel="0" collapsed="false">
      <c r="A22" s="19" t="str">
        <f aca="false">A9</f>
        <v>GE Aerospace</v>
      </c>
      <c r="B22" s="42" t="n">
        <f aca="false">D9*E9</f>
        <v>396468.8</v>
      </c>
      <c r="C22" s="42" t="n">
        <f aca="false">B22+F9</f>
        <v>406758.8</v>
      </c>
      <c r="D22" s="43" t="n">
        <f aca="false">C22/G9</f>
        <v>8.03236176935229</v>
      </c>
      <c r="E22" s="43" t="n">
        <f aca="false">C22/H9</f>
        <v>38.4097072710104</v>
      </c>
      <c r="F22" s="43" t="n">
        <f aca="false">C22/I9</f>
        <v>43.4571367521368</v>
      </c>
      <c r="G22" s="44" t="n">
        <f aca="false">D9/K9</f>
        <v>44.9022379269729</v>
      </c>
    </row>
    <row r="23" customFormat="false" ht="15" hidden="false" customHeight="true" outlineLevel="0" collapsed="false">
      <c r="A23" s="19" t="str">
        <f aca="false">A10</f>
        <v>Rolls-Royce Holdings</v>
      </c>
      <c r="B23" s="42" t="n">
        <f aca="false">D10*E10</f>
        <v>103950</v>
      </c>
      <c r="C23" s="42" t="n">
        <f aca="false">B23+F10</f>
        <v>102060</v>
      </c>
      <c r="D23" s="43" t="n">
        <f aca="false">C23/G10</f>
        <v>4.81188118811881</v>
      </c>
      <c r="E23" s="43" t="n">
        <f aca="false">C23/H10</f>
        <v>22.1869565217391</v>
      </c>
      <c r="F23" s="43" t="n">
        <f aca="false">C23/I10</f>
        <v>24.3579952267303</v>
      </c>
      <c r="G23" s="44" t="n">
        <f aca="false">D10/K10</f>
        <v>18.2608695652174</v>
      </c>
    </row>
    <row r="24" customFormat="false" ht="15" hidden="false" customHeight="true" outlineLevel="0" collapsed="false">
      <c r="A24" s="19" t="str">
        <f aca="false">A11</f>
        <v>Thales</v>
      </c>
      <c r="B24" s="42" t="n">
        <f aca="false">D11*E11</f>
        <v>47753.552</v>
      </c>
      <c r="C24" s="42" t="n">
        <f aca="false">B24+F11</f>
        <v>49393.552</v>
      </c>
      <c r="D24" s="43" t="n">
        <f aca="false">C24/G11</f>
        <v>2.23096440831075</v>
      </c>
      <c r="E24" s="43" t="n">
        <f aca="false">C24/H11</f>
        <v>16.4098179401993</v>
      </c>
      <c r="F24" s="43" t="n">
        <f aca="false">C24/I11</f>
        <v>22.6575926605505</v>
      </c>
      <c r="G24" s="44" t="n">
        <f aca="false">D11/K11</f>
        <v>28.5854858548585</v>
      </c>
    </row>
    <row r="25" customFormat="false" ht="15" hidden="false" customHeight="true" outlineLevel="0" collapsed="false">
      <c r="A25" s="27"/>
      <c r="B25" s="29"/>
      <c r="C25" s="29"/>
      <c r="D25" s="29"/>
      <c r="E25" s="29"/>
      <c r="F25" s="29"/>
      <c r="G25" s="45"/>
    </row>
    <row r="26" customFormat="false" ht="15" hidden="false" customHeight="true" outlineLevel="0" collapsed="false">
      <c r="A26" s="34" t="s">
        <v>68</v>
      </c>
      <c r="B26" s="46" t="n">
        <f aca="false">D13*E13</f>
        <v>140882.6808</v>
      </c>
      <c r="C26" s="46" t="n">
        <f aca="false">B26+F13</f>
        <v>139672.6808</v>
      </c>
      <c r="D26" s="47" t="n">
        <f aca="false">C26/G13</f>
        <v>1.92572288432373</v>
      </c>
      <c r="E26" s="47" t="n">
        <f aca="false">C26/H13</f>
        <v>18.2578667712418</v>
      </c>
      <c r="F26" s="47" t="n">
        <f aca="false">C26/I13</f>
        <v>25.9614648327138</v>
      </c>
      <c r="G26" s="48" t="n">
        <f aca="false">D13/K13</f>
        <v>28.2717219589258</v>
      </c>
    </row>
    <row r="29" customFormat="false" ht="15" hidden="false" customHeight="true" outlineLevel="0" collapsed="false">
      <c r="A29" s="14" t="s">
        <v>77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1" customFormat="false" ht="15" hidden="false" customHeight="true" outlineLevel="0" collapsed="false">
      <c r="A31" s="16" t="s">
        <v>78</v>
      </c>
      <c r="B31" s="17" t="s">
        <v>73</v>
      </c>
      <c r="C31" s="17" t="s">
        <v>74</v>
      </c>
      <c r="D31" s="17" t="s">
        <v>75</v>
      </c>
      <c r="E31" s="18" t="s">
        <v>76</v>
      </c>
    </row>
    <row r="32" customFormat="false" ht="15" hidden="false" customHeight="true" outlineLevel="0" collapsed="false">
      <c r="A32" s="49" t="s">
        <v>79</v>
      </c>
      <c r="B32" s="43" t="n">
        <f aca="false">AVERAGE(D19:D24)</f>
        <v>4.20800057819702</v>
      </c>
      <c r="C32" s="43" t="n">
        <f aca="false">AVERAGE(E19:E24)</f>
        <v>25.6868906120059</v>
      </c>
      <c r="D32" s="43" t="n">
        <f aca="false">AVERAGE(F19:F24)</f>
        <v>33.1693378723509</v>
      </c>
      <c r="E32" s="44" t="n">
        <f aca="false">AVERAGE(G19:G24)</f>
        <v>39.9164556779751</v>
      </c>
    </row>
    <row r="33" customFormat="false" ht="15" hidden="false" customHeight="true" outlineLevel="0" collapsed="false">
      <c r="A33" s="49" t="s">
        <v>80</v>
      </c>
      <c r="B33" s="50" t="n">
        <f aca="false">MEDIAN(D19:D24)</f>
        <v>3.92270333148737</v>
      </c>
      <c r="C33" s="50" t="n">
        <f aca="false">MEDIAN(E19:E24)</f>
        <v>22.4771501728831</v>
      </c>
      <c r="D33" s="50" t="n">
        <f aca="false">MEDIAN(F19:F24)</f>
        <v>30.4918026669092</v>
      </c>
      <c r="E33" s="51" t="n">
        <f aca="false">MEDIAN(G19:G24)</f>
        <v>33.8305950401053</v>
      </c>
    </row>
    <row r="34" customFormat="false" ht="15" hidden="false" customHeight="true" outlineLevel="0" collapsed="false">
      <c r="A34" s="49" t="s">
        <v>81</v>
      </c>
      <c r="B34" s="43" t="n">
        <f aca="false">MIN(D19:D24)</f>
        <v>2.23096440831075</v>
      </c>
      <c r="C34" s="43" t="n">
        <f aca="false">MIN(E19:E24)</f>
        <v>16.4098179401993</v>
      </c>
      <c r="D34" s="43" t="n">
        <f aca="false">MIN(F19:F24)</f>
        <v>22.6575926605505</v>
      </c>
      <c r="E34" s="44" t="n">
        <f aca="false">MIN(G19:G24)</f>
        <v>18.2608695652174</v>
      </c>
    </row>
    <row r="35" customFormat="false" ht="15" hidden="false" customHeight="true" outlineLevel="0" collapsed="false">
      <c r="A35" s="52" t="s">
        <v>82</v>
      </c>
      <c r="B35" s="53" t="n">
        <f aca="false">MAX(D19:D24)</f>
        <v>8.03236176935229</v>
      </c>
      <c r="C35" s="53" t="n">
        <f aca="false">MAX(E19:E24)</f>
        <v>38.4097072710104</v>
      </c>
      <c r="D35" s="53" t="n">
        <f aca="false">MAX(F19:F24)</f>
        <v>47.5596972608696</v>
      </c>
      <c r="E35" s="54" t="n">
        <f aca="false">MAX(G19:G24)</f>
        <v>89.5597014925373</v>
      </c>
    </row>
    <row r="38" customFormat="false" ht="15" hidden="false" customHeight="true" outlineLevel="0" collapsed="false">
      <c r="A38" s="55" t="s">
        <v>83</v>
      </c>
      <c r="B38" s="56"/>
      <c r="C38" s="56"/>
      <c r="D38" s="56"/>
      <c r="E38" s="56"/>
      <c r="F38" s="56"/>
    </row>
    <row r="40" customFormat="false" ht="23.25" hidden="false" customHeight="true" outlineLevel="0" collapsed="false">
      <c r="A40" s="16" t="s">
        <v>33</v>
      </c>
      <c r="B40" s="17" t="s">
        <v>84</v>
      </c>
      <c r="C40" s="17" t="s">
        <v>85</v>
      </c>
      <c r="D40" s="17" t="s">
        <v>86</v>
      </c>
      <c r="E40" s="17" t="s">
        <v>87</v>
      </c>
      <c r="F40" s="18" t="s">
        <v>88</v>
      </c>
    </row>
    <row r="41" customFormat="false" ht="15" hidden="false" customHeight="true" outlineLevel="0" collapsed="false">
      <c r="A41" s="19" t="str">
        <f aca="false">A6</f>
        <v>Boeing</v>
      </c>
      <c r="B41" s="57" t="n">
        <f aca="false">(G6-M6)/M6</f>
        <v>0.247842824903757</v>
      </c>
      <c r="C41" s="57" t="n">
        <f aca="false">H6/G6</f>
        <v>0.0723404255319149</v>
      </c>
      <c r="D41" s="57" t="n">
        <f aca="false">I6/G6</f>
        <v>0.048936170212766</v>
      </c>
      <c r="E41" s="57" t="n">
        <f aca="false">J6/G6</f>
        <v>0.0222340425531915</v>
      </c>
      <c r="F41" s="58" t="n">
        <f aca="false">J6/N6</f>
        <v>0.341782502044154</v>
      </c>
    </row>
    <row r="42" customFormat="false" ht="15" hidden="false" customHeight="true" outlineLevel="0" collapsed="false">
      <c r="A42" s="19" t="str">
        <f aca="false">A7</f>
        <v>Safran</v>
      </c>
      <c r="B42" s="57" t="n">
        <f aca="false">(G7-M7)/M7</f>
        <v>0.145427836944546</v>
      </c>
      <c r="C42" s="57" t="n">
        <f aca="false">H7/G7</f>
        <v>0.189483808913113</v>
      </c>
      <c r="D42" s="57" t="n">
        <f aca="false">I7/G7</f>
        <v>0.14620070535428</v>
      </c>
      <c r="E42" s="57" t="n">
        <f aca="false">J7/G7</f>
        <v>0.230201987816608</v>
      </c>
      <c r="F42" s="58" t="n">
        <f aca="false">J7/N7</f>
        <v>0.556589147286822</v>
      </c>
    </row>
    <row r="43" customFormat="false" ht="15" hidden="false" customHeight="true" outlineLevel="0" collapsed="false">
      <c r="A43" s="19" t="str">
        <f aca="false">A8</f>
        <v>RTX Corporation</v>
      </c>
      <c r="B43" s="57" t="n">
        <f aca="false">(G8-M8)/M8</f>
        <v>0.0974178403755869</v>
      </c>
      <c r="C43" s="57" t="n">
        <f aca="false">H8/G8</f>
        <v>0.159251336898396</v>
      </c>
      <c r="D43" s="57" t="n">
        <f aca="false">I8/G8</f>
        <v>0.112192513368984</v>
      </c>
      <c r="E43" s="57" t="n">
        <f aca="false">J8/G8</f>
        <v>0.0827807486631016</v>
      </c>
      <c r="F43" s="58" t="n">
        <f aca="false">J8/N8</f>
        <v>0.115695067264574</v>
      </c>
    </row>
    <row r="44" customFormat="false" ht="15" hidden="false" customHeight="true" outlineLevel="0" collapsed="false">
      <c r="A44" s="19" t="str">
        <f aca="false">A9</f>
        <v>GE Aerospace</v>
      </c>
      <c r="B44" s="57" t="n">
        <f aca="false">(G9-M9)/M9</f>
        <v>0.217015140591204</v>
      </c>
      <c r="C44" s="57" t="n">
        <f aca="false">H9/G9</f>
        <v>0.209123222748815</v>
      </c>
      <c r="D44" s="57" t="n">
        <f aca="false">I9/G9</f>
        <v>0.184834123222749</v>
      </c>
      <c r="E44" s="57" t="n">
        <f aca="false">J9/G9</f>
        <v>0.177132701421801</v>
      </c>
      <c r="F44" s="58" t="n">
        <f aca="false">J9/N9</f>
        <v>0.45429222587997</v>
      </c>
    </row>
    <row r="45" customFormat="false" ht="15" hidden="false" customHeight="true" outlineLevel="0" collapsed="false">
      <c r="A45" s="19" t="str">
        <f aca="false">A10</f>
        <v>Rolls-Royce Holdings</v>
      </c>
      <c r="B45" s="57" t="n">
        <f aca="false">(G10-M10)/M10</f>
        <v>0.1216287678477</v>
      </c>
      <c r="C45" s="57" t="n">
        <f aca="false">H10/G10</f>
        <v>0.216878830740217</v>
      </c>
      <c r="D45" s="57" t="n">
        <f aca="false">I10/G10</f>
        <v>0.197548326261198</v>
      </c>
      <c r="E45" s="57" t="n">
        <f aca="false">J10/G10</f>
        <v>0.275341819896275</v>
      </c>
      <c r="F45" s="58" t="n">
        <f aca="false">J10/N10</f>
        <v>6.23265741728922</v>
      </c>
    </row>
    <row r="46" customFormat="false" ht="15" hidden="false" customHeight="true" outlineLevel="0" collapsed="false">
      <c r="A46" s="19" t="str">
        <f aca="false">A11</f>
        <v>Thales</v>
      </c>
      <c r="B46" s="57" t="n">
        <f aca="false">(G11-M11)/M11</f>
        <v>0.11144578313253</v>
      </c>
      <c r="C46" s="57" t="n">
        <f aca="false">H11/G11</f>
        <v>0.135953026196929</v>
      </c>
      <c r="D46" s="57" t="n">
        <f aca="false">I11/G11</f>
        <v>0.0984643179765131</v>
      </c>
      <c r="E46" s="57" t="n">
        <f aca="false">J11/G11</f>
        <v>0.0754290876242096</v>
      </c>
      <c r="F46" s="58" t="n">
        <f aca="false">J11/N11</f>
        <v>0.210991787744788</v>
      </c>
    </row>
    <row r="47" customFormat="false" ht="15" hidden="false" customHeight="true" outlineLevel="0" collapsed="false">
      <c r="A47" s="33"/>
      <c r="B47" s="31"/>
      <c r="C47" s="31"/>
      <c r="D47" s="31"/>
      <c r="E47" s="31"/>
      <c r="F47" s="32"/>
    </row>
    <row r="48" customFormat="false" ht="15" hidden="false" customHeight="true" outlineLevel="0" collapsed="false">
      <c r="A48" s="34" t="s">
        <v>68</v>
      </c>
      <c r="B48" s="59" t="n">
        <f aca="false">(G13-M13)/M13</f>
        <v>0.037031741492708</v>
      </c>
      <c r="C48" s="59" t="n">
        <f aca="false">H13/G13</f>
        <v>0.105473597132221</v>
      </c>
      <c r="D48" s="59" t="n">
        <f aca="false">I13/G13</f>
        <v>0.0741762029505032</v>
      </c>
      <c r="E48" s="59" t="n">
        <f aca="false">J13/G13</f>
        <v>0.0690748655728664</v>
      </c>
      <c r="F48" s="60" t="n">
        <f aca="false">J13/N13</f>
        <v>0.197477335435554</v>
      </c>
    </row>
    <row r="50" customFormat="false" ht="23.25" hidden="false" customHeight="true" outlineLevel="0" collapsed="false">
      <c r="A50" s="16" t="s">
        <v>78</v>
      </c>
      <c r="B50" s="17" t="s">
        <v>84</v>
      </c>
      <c r="C50" s="17" t="s">
        <v>85</v>
      </c>
      <c r="D50" s="17" t="s">
        <v>86</v>
      </c>
      <c r="E50" s="17" t="s">
        <v>87</v>
      </c>
      <c r="F50" s="18" t="s">
        <v>88</v>
      </c>
    </row>
    <row r="51" customFormat="false" ht="15" hidden="false" customHeight="true" outlineLevel="0" collapsed="false">
      <c r="A51" s="49" t="s">
        <v>79</v>
      </c>
      <c r="B51" s="57" t="n">
        <f aca="false">AVERAGE(B41:B46)</f>
        <v>0.156796365632554</v>
      </c>
      <c r="C51" s="57" t="n">
        <f aca="false">AVERAGE(C41:C46)</f>
        <v>0.163838441838231</v>
      </c>
      <c r="D51" s="57" t="n">
        <f aca="false">AVERAGE(D41:D46)</f>
        <v>0.131362692732748</v>
      </c>
      <c r="E51" s="57" t="n">
        <f aca="false">AVERAGE(E41:E46)</f>
        <v>0.143853397995864</v>
      </c>
      <c r="F51" s="58" t="n">
        <f aca="false">AVERAGE(F41:F46)</f>
        <v>1.31866802458492</v>
      </c>
    </row>
    <row r="52" customFormat="false" ht="15" hidden="false" customHeight="true" outlineLevel="0" collapsed="false">
      <c r="A52" s="49" t="s">
        <v>80</v>
      </c>
      <c r="B52" s="61" t="n">
        <f aca="false">MEDIAN(B41:B46)</f>
        <v>0.133528302396123</v>
      </c>
      <c r="C52" s="61" t="n">
        <f aca="false">MEDIAN(C41:C46)</f>
        <v>0.174367572905754</v>
      </c>
      <c r="D52" s="61" t="n">
        <f aca="false">MEDIAN(D41:D46)</f>
        <v>0.129196609361632</v>
      </c>
      <c r="E52" s="61" t="n">
        <f aca="false">MEDIAN(E41:E46)</f>
        <v>0.129956725042451</v>
      </c>
      <c r="F52" s="62" t="n">
        <f aca="false">MEDIAN(F41:F46)</f>
        <v>0.398037363962062</v>
      </c>
    </row>
    <row r="53" customFormat="false" ht="15" hidden="false" customHeight="true" outlineLevel="0" collapsed="false">
      <c r="A53" s="49" t="s">
        <v>81</v>
      </c>
      <c r="B53" s="57" t="n">
        <f aca="false">MIN(B41:B46)</f>
        <v>0.0974178403755869</v>
      </c>
      <c r="C53" s="57" t="n">
        <f aca="false">MIN(C41:C46)</f>
        <v>0.0723404255319149</v>
      </c>
      <c r="D53" s="57" t="n">
        <f aca="false">MIN(D41:D46)</f>
        <v>0.048936170212766</v>
      </c>
      <c r="E53" s="57" t="n">
        <f aca="false">MIN(E41:E46)</f>
        <v>0.0222340425531915</v>
      </c>
      <c r="F53" s="58" t="n">
        <f aca="false">MIN(F41:F46)</f>
        <v>0.115695067264574</v>
      </c>
    </row>
    <row r="54" customFormat="false" ht="15" hidden="false" customHeight="true" outlineLevel="0" collapsed="false">
      <c r="A54" s="52" t="s">
        <v>82</v>
      </c>
      <c r="B54" s="63" t="n">
        <f aca="false">MAX(B41:B46)</f>
        <v>0.247842824903757</v>
      </c>
      <c r="C54" s="63" t="n">
        <f aca="false">MAX(C41:C46)</f>
        <v>0.216878830740217</v>
      </c>
      <c r="D54" s="63" t="n">
        <f aca="false">MAX(D41:D46)</f>
        <v>0.197548326261198</v>
      </c>
      <c r="E54" s="63" t="n">
        <f aca="false">MAX(E41:E46)</f>
        <v>0.275341819896275</v>
      </c>
      <c r="F54" s="64" t="n">
        <f aca="false">MAX(F41:F46)</f>
        <v>6.23265741728922</v>
      </c>
    </row>
    <row r="56" customFormat="false" ht="15" hidden="false" customHeight="true" outlineLevel="0" collapsed="false">
      <c r="A56" s="55" t="s">
        <v>89</v>
      </c>
      <c r="B56" s="55"/>
      <c r="C56" s="55"/>
      <c r="D56" s="55"/>
    </row>
    <row r="58" customFormat="false" ht="34.5" hidden="false" customHeight="true" outlineLevel="0" collapsed="false">
      <c r="A58" s="16" t="s">
        <v>33</v>
      </c>
      <c r="B58" s="17" t="s">
        <v>90</v>
      </c>
      <c r="C58" s="17" t="s">
        <v>91</v>
      </c>
      <c r="D58" s="17" t="s">
        <v>92</v>
      </c>
      <c r="E58" s="18" t="s">
        <v>93</v>
      </c>
    </row>
    <row r="59" customFormat="false" ht="15" hidden="false" customHeight="true" outlineLevel="0" collapsed="false">
      <c r="A59" s="19" t="str">
        <f aca="false">A6</f>
        <v>Boeing</v>
      </c>
      <c r="B59" s="43" t="n">
        <f aca="false">C19/O6</f>
        <v>2.25540832371134</v>
      </c>
      <c r="C59" s="43" t="n">
        <f aca="false">C19/(O6*(H6/G6))</f>
        <v>31.1777032983626</v>
      </c>
      <c r="D59" s="43" t="n">
        <f aca="false">C19/(O6*(I6/G6))</f>
        <v>46.0887787888839</v>
      </c>
      <c r="E59" s="44" t="n">
        <f aca="false">D6/P6</f>
        <v>84.2175438596491</v>
      </c>
    </row>
    <row r="60" customFormat="false" ht="15" hidden="false" customHeight="true" outlineLevel="0" collapsed="false">
      <c r="A60" s="19" t="str">
        <f aca="false">A7</f>
        <v>Safran</v>
      </c>
      <c r="B60" s="43" t="n">
        <f aca="false">C20/O7</f>
        <v>3.85213289436015</v>
      </c>
      <c r="C60" s="43" t="n">
        <f aca="false">C20/(O7*(H7/G7))</f>
        <v>20.3296150550073</v>
      </c>
      <c r="D60" s="43" t="n">
        <f aca="false">C20/(O7*(I7/G7))</f>
        <v>26.3482510910292</v>
      </c>
      <c r="E60" s="44" t="n">
        <f aca="false">D7/P7</f>
        <v>16.8307692307692</v>
      </c>
    </row>
    <row r="61" customFormat="false" ht="15" hidden="false" customHeight="true" outlineLevel="0" collapsed="false">
      <c r="A61" s="19" t="str">
        <f aca="false">A8</f>
        <v>RTX Corporation</v>
      </c>
      <c r="B61" s="43" t="n">
        <f aca="false">C21/O8</f>
        <v>3.51257978723404</v>
      </c>
      <c r="C61" s="43" t="n">
        <f aca="false">C21/(O8*(H8/G8))</f>
        <v>22.0568307660432</v>
      </c>
      <c r="D61" s="43" t="n">
        <f aca="false">C21/(O8*(I8/G8))</f>
        <v>31.3085042999412</v>
      </c>
      <c r="E61" s="44" t="n">
        <f aca="false">D8/P8</f>
        <v>32.2601744186047</v>
      </c>
    </row>
    <row r="62" customFormat="false" ht="15" hidden="false" customHeight="true" outlineLevel="0" collapsed="false">
      <c r="A62" s="19" t="str">
        <f aca="false">A9</f>
        <v>GE Aerospace</v>
      </c>
      <c r="B62" s="43" t="n">
        <f aca="false">C22/O9</f>
        <v>6.80198662207358</v>
      </c>
      <c r="C62" s="43" t="n">
        <f aca="false">C22/(O9*(H9/G9))</f>
        <v>32.5262136488958</v>
      </c>
      <c r="D62" s="43" t="n">
        <f aca="false">C22/(O9*(I9/G9))</f>
        <v>36.8004917245519</v>
      </c>
      <c r="E62" s="44" t="n">
        <f aca="false">D9/P9</f>
        <v>50.8293333333333</v>
      </c>
    </row>
    <row r="63" customFormat="false" ht="15" hidden="false" customHeight="true" outlineLevel="0" collapsed="false">
      <c r="A63" s="19" t="str">
        <f aca="false">A10</f>
        <v>Rolls-Royce Holdings</v>
      </c>
      <c r="B63" s="43" t="n">
        <f aca="false">C23/O10</f>
        <v>4.18450184501845</v>
      </c>
      <c r="C63" s="43" t="n">
        <f aca="false">C23/(O10*(H10/G10))</f>
        <v>19.2941922027916</v>
      </c>
      <c r="D63" s="43" t="n">
        <f aca="false">C23/(O10*(I10/G10))</f>
        <v>21.1821680507975</v>
      </c>
      <c r="E63" s="44" t="n">
        <f aca="false">D10/P10</f>
        <v>15.9493670886076</v>
      </c>
    </row>
    <row r="64" customFormat="false" ht="15" hidden="false" customHeight="true" outlineLevel="0" collapsed="false">
      <c r="A64" s="19" t="str">
        <f aca="false">A11</f>
        <v>Thales</v>
      </c>
      <c r="B64" s="43" t="n">
        <f aca="false">C24/O11</f>
        <v>2.06581145964032</v>
      </c>
      <c r="C64" s="43" t="n">
        <f aca="false">C24/(O11*(H11/G11))</f>
        <v>15.1950384439989</v>
      </c>
      <c r="D64" s="43" t="n">
        <f aca="false">C24/(O11*(I11/G11))</f>
        <v>20.9803053745122</v>
      </c>
      <c r="E64" s="44" t="n">
        <f aca="false">D11/P11</f>
        <v>26.4692482915718</v>
      </c>
    </row>
    <row r="65" customFormat="false" ht="15" hidden="false" customHeight="true" outlineLevel="0" collapsed="false">
      <c r="A65" s="33"/>
      <c r="B65" s="31"/>
      <c r="C65" s="31"/>
      <c r="D65" s="31"/>
      <c r="E65" s="32"/>
    </row>
    <row r="66" customFormat="false" ht="15" hidden="false" customHeight="true" outlineLevel="0" collapsed="false">
      <c r="A66" s="34" t="s">
        <v>68</v>
      </c>
      <c r="B66" s="47" t="n">
        <f aca="false">C26/O13</f>
        <v>1.85168607715763</v>
      </c>
      <c r="C66" s="47" t="n">
        <f aca="false">C26/(O13*(H13/G13))</f>
        <v>17.5559204151951</v>
      </c>
      <c r="D66" s="47" t="n">
        <f aca="false">C26/(O13*(I13/G13))</f>
        <v>24.9633440848035</v>
      </c>
      <c r="E66" s="48" t="n">
        <f aca="false">D13/P13</f>
        <v>26.6706408345753</v>
      </c>
    </row>
    <row r="68" customFormat="false" ht="34.5" hidden="false" customHeight="true" outlineLevel="0" collapsed="false">
      <c r="A68" s="16" t="s">
        <v>78</v>
      </c>
      <c r="B68" s="17" t="s">
        <v>90</v>
      </c>
      <c r="C68" s="17" t="s">
        <v>91</v>
      </c>
      <c r="D68" s="17" t="s">
        <v>92</v>
      </c>
      <c r="E68" s="18" t="s">
        <v>93</v>
      </c>
    </row>
    <row r="69" customFormat="false" ht="15" hidden="false" customHeight="true" outlineLevel="0" collapsed="false">
      <c r="A69" s="49" t="s">
        <v>79</v>
      </c>
      <c r="B69" s="43" t="n">
        <f aca="false">AVERAGE(B59:B64)</f>
        <v>3.77873682200631</v>
      </c>
      <c r="C69" s="43" t="n">
        <f aca="false">AVERAGE(C59:C64)</f>
        <v>23.4299322358499</v>
      </c>
      <c r="D69" s="43" t="n">
        <f aca="false">AVERAGE(D59:D64)</f>
        <v>30.4514165549526</v>
      </c>
      <c r="E69" s="44" t="n">
        <f aca="false">AVERAGE(E59:E64)</f>
        <v>37.7594060370893</v>
      </c>
    </row>
    <row r="70" customFormat="false" ht="15" hidden="false" customHeight="true" outlineLevel="0" collapsed="false">
      <c r="A70" s="49" t="s">
        <v>80</v>
      </c>
      <c r="B70" s="50" t="n">
        <f aca="false">MEDIAN(B59:B64)</f>
        <v>3.6823563407971</v>
      </c>
      <c r="C70" s="50" t="n">
        <f aca="false">MEDIAN(C59:C64)</f>
        <v>21.1932229105252</v>
      </c>
      <c r="D70" s="50" t="n">
        <f aca="false">MEDIAN(D59:D64)</f>
        <v>28.8283776954852</v>
      </c>
      <c r="E70" s="51" t="n">
        <f aca="false">MEDIAN(E59:E64)</f>
        <v>29.3647113550882</v>
      </c>
    </row>
    <row r="71" customFormat="false" ht="15" hidden="false" customHeight="true" outlineLevel="0" collapsed="false">
      <c r="A71" s="49" t="s">
        <v>81</v>
      </c>
      <c r="B71" s="43" t="n">
        <f aca="false">MIN(B59:B64)</f>
        <v>2.06581145964032</v>
      </c>
      <c r="C71" s="43" t="n">
        <f aca="false">MIN(C59:C64)</f>
        <v>15.1950384439989</v>
      </c>
      <c r="D71" s="43" t="n">
        <f aca="false">MIN(D59:D64)</f>
        <v>20.9803053745122</v>
      </c>
      <c r="E71" s="44" t="n">
        <f aca="false">MIN(E59:E64)</f>
        <v>15.9493670886076</v>
      </c>
    </row>
    <row r="72" customFormat="false" ht="15" hidden="false" customHeight="true" outlineLevel="0" collapsed="false">
      <c r="A72" s="52" t="s">
        <v>82</v>
      </c>
      <c r="B72" s="53" t="n">
        <f aca="false">MAX(B59:B64)</f>
        <v>6.80198662207358</v>
      </c>
      <c r="C72" s="53" t="n">
        <f aca="false">MAX(C59:C64)</f>
        <v>32.5262136488958</v>
      </c>
      <c r="D72" s="53" t="n">
        <f aca="false">MAX(D59:D64)</f>
        <v>46.0887787888839</v>
      </c>
      <c r="E72" s="54" t="n">
        <f aca="false">MAX(E59:E64)</f>
        <v>84.2175438596491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6" min="2" style="1" width="16"/>
  </cols>
  <sheetData>
    <row r="1" customFormat="false" ht="17.25" hidden="false" customHeight="true" outlineLevel="0" collapsed="false">
      <c r="A1" s="2" t="s">
        <v>94</v>
      </c>
    </row>
    <row r="3" customFormat="false" ht="15" hidden="false" customHeight="true" outlineLevel="0" collapsed="false">
      <c r="A3" s="14" t="s">
        <v>95</v>
      </c>
      <c r="B3" s="15"/>
      <c r="C3" s="15"/>
      <c r="D3" s="15"/>
      <c r="E3" s="15"/>
      <c r="F3" s="15"/>
    </row>
    <row r="4" customFormat="false" ht="15" hidden="false" customHeight="true" outlineLevel="0" collapsed="false">
      <c r="A4" s="65" t="s">
        <v>96</v>
      </c>
      <c r="B4" s="66" t="n">
        <f aca="false">'Trading Comps'!D13</f>
        <v>178.96</v>
      </c>
    </row>
    <row r="5" customFormat="false" ht="15" hidden="false" customHeight="true" outlineLevel="0" collapsed="false">
      <c r="A5" s="19" t="s">
        <v>97</v>
      </c>
      <c r="B5" s="67" t="n">
        <f aca="false">'Trading Comps'!E13</f>
        <v>787.23</v>
      </c>
    </row>
    <row r="6" customFormat="false" ht="15" hidden="false" customHeight="true" outlineLevel="0" collapsed="false">
      <c r="A6" s="19" t="s">
        <v>98</v>
      </c>
      <c r="B6" s="67" t="n">
        <f aca="false">'Trading Comps'!F13</f>
        <v>-1210</v>
      </c>
    </row>
    <row r="7" customFormat="false" ht="15" hidden="false" customHeight="true" outlineLevel="0" collapsed="false">
      <c r="A7" s="19" t="s">
        <v>99</v>
      </c>
      <c r="B7" s="67" t="n">
        <f aca="false">'Trading Comps'!G13</f>
        <v>72530</v>
      </c>
    </row>
    <row r="8" customFormat="false" ht="15" hidden="false" customHeight="true" outlineLevel="0" collapsed="false">
      <c r="A8" s="19" t="s">
        <v>100</v>
      </c>
      <c r="B8" s="67" t="n">
        <f aca="false">'Trading Comps'!H13</f>
        <v>7650</v>
      </c>
    </row>
    <row r="9" customFormat="false" ht="15" hidden="false" customHeight="true" outlineLevel="0" collapsed="false">
      <c r="A9" s="19" t="s">
        <v>101</v>
      </c>
      <c r="B9" s="67" t="n">
        <f aca="false">'Trading Comps'!I13</f>
        <v>5380</v>
      </c>
    </row>
    <row r="10" customFormat="false" ht="15" hidden="false" customHeight="true" outlineLevel="0" collapsed="false">
      <c r="A10" s="19" t="s">
        <v>102</v>
      </c>
      <c r="B10" s="67" t="n">
        <f aca="false">'Trading Comps'!J13</f>
        <v>5010</v>
      </c>
    </row>
    <row r="11" customFormat="false" ht="15" hidden="false" customHeight="true" outlineLevel="0" collapsed="false">
      <c r="A11" s="68" t="s">
        <v>103</v>
      </c>
      <c r="B11" s="69" t="n">
        <f aca="false">'Trading Comps'!K13</f>
        <v>6.33</v>
      </c>
    </row>
    <row r="13" customFormat="false" ht="15" hidden="false" customHeight="true" outlineLevel="0" collapsed="false">
      <c r="A13" s="14" t="s">
        <v>104</v>
      </c>
      <c r="B13" s="15"/>
      <c r="C13" s="15"/>
      <c r="D13" s="15"/>
      <c r="E13" s="15"/>
      <c r="F13" s="15"/>
    </row>
    <row r="15" customFormat="false" ht="15" hidden="false" customHeight="true" outlineLevel="0" collapsed="false">
      <c r="A15" s="16" t="s">
        <v>105</v>
      </c>
      <c r="B15" s="17" t="s">
        <v>106</v>
      </c>
      <c r="C15" s="17" t="s">
        <v>107</v>
      </c>
      <c r="D15" s="17" t="s">
        <v>108</v>
      </c>
      <c r="E15" s="17" t="s">
        <v>109</v>
      </c>
      <c r="F15" s="18" t="s">
        <v>110</v>
      </c>
    </row>
    <row r="16" customFormat="false" ht="15" hidden="false" customHeight="true" outlineLevel="0" collapsed="false">
      <c r="A16" s="19" t="s">
        <v>73</v>
      </c>
      <c r="B16" s="70" t="n">
        <f aca="false">'Trading Comps'!B33</f>
        <v>3.92270333148737</v>
      </c>
      <c r="C16" s="42" t="n">
        <f aca="false">$B$7</f>
        <v>72530</v>
      </c>
      <c r="D16" s="42" t="n">
        <f aca="false">B16*C16</f>
        <v>284513.672632779</v>
      </c>
      <c r="E16" s="42" t="n">
        <f aca="false">D16-$B$6</f>
        <v>285723.672632779</v>
      </c>
      <c r="F16" s="71" t="n">
        <f aca="false">E16/$B$5</f>
        <v>362.948150645655</v>
      </c>
    </row>
    <row r="17" customFormat="false" ht="15" hidden="false" customHeight="true" outlineLevel="0" collapsed="false">
      <c r="A17" s="19" t="s">
        <v>74</v>
      </c>
      <c r="B17" s="70" t="n">
        <f aca="false">'Trading Comps'!C33</f>
        <v>22.4771501728831</v>
      </c>
      <c r="C17" s="42" t="n">
        <f aca="false">$B$8</f>
        <v>7650</v>
      </c>
      <c r="D17" s="42" t="n">
        <f aca="false">B17*C17</f>
        <v>171950.198822556</v>
      </c>
      <c r="E17" s="42" t="n">
        <f aca="false">D17-$B$6</f>
        <v>173160.198822556</v>
      </c>
      <c r="F17" s="71" t="n">
        <f aca="false">E17/$B$5</f>
        <v>219.961382089803</v>
      </c>
    </row>
    <row r="18" customFormat="false" ht="15" hidden="false" customHeight="true" outlineLevel="0" collapsed="false">
      <c r="A18" s="19" t="s">
        <v>75</v>
      </c>
      <c r="B18" s="70" t="n">
        <f aca="false">'Trading Comps'!D33</f>
        <v>30.4918026669092</v>
      </c>
      <c r="C18" s="42" t="n">
        <f aca="false">$B$9</f>
        <v>5380</v>
      </c>
      <c r="D18" s="42" t="n">
        <f aca="false">B18*C18</f>
        <v>164045.898347971</v>
      </c>
      <c r="E18" s="42" t="n">
        <f aca="false">D18-$B$6</f>
        <v>165255.898347971</v>
      </c>
      <c r="F18" s="71" t="n">
        <f aca="false">E18/$B$5</f>
        <v>209.920732629564</v>
      </c>
    </row>
    <row r="19" customFormat="false" ht="15" hidden="false" customHeight="true" outlineLevel="0" collapsed="false">
      <c r="A19" s="68" t="s">
        <v>76</v>
      </c>
      <c r="B19" s="72" t="n">
        <f aca="false">'Trading Comps'!E33</f>
        <v>33.8305950401053</v>
      </c>
      <c r="C19" s="73" t="n">
        <f aca="false">$B$11</f>
        <v>6.33</v>
      </c>
      <c r="D19" s="74" t="n">
        <f aca="false">E19+$B$6</f>
        <v>167373.467580562</v>
      </c>
      <c r="E19" s="74" t="n">
        <f aca="false">F19*$B$5</f>
        <v>168583.467580562</v>
      </c>
      <c r="F19" s="75" t="n">
        <f aca="false">B19*C19</f>
        <v>214.147666603867</v>
      </c>
    </row>
    <row r="20" customFormat="false" ht="27.75" hidden="false" customHeight="true" outlineLevel="0" collapsed="false">
      <c r="A20" s="10" t="s">
        <v>111</v>
      </c>
      <c r="B20" s="10"/>
      <c r="C20" s="10"/>
      <c r="D20" s="10"/>
      <c r="E20" s="10"/>
      <c r="F20" s="10"/>
    </row>
    <row r="22" customFormat="false" ht="15" hidden="false" customHeight="true" outlineLevel="0" collapsed="false">
      <c r="A22" s="14" t="s">
        <v>112</v>
      </c>
      <c r="B22" s="15"/>
      <c r="C22" s="15"/>
      <c r="D22" s="15"/>
      <c r="E22" s="15"/>
      <c r="F22" s="15"/>
    </row>
    <row r="24" customFormat="false" ht="15" hidden="false" customHeight="true" outlineLevel="0" collapsed="false">
      <c r="A24" s="16" t="s">
        <v>105</v>
      </c>
      <c r="B24" s="17" t="s">
        <v>113</v>
      </c>
      <c r="C24" s="17" t="s">
        <v>80</v>
      </c>
      <c r="D24" s="17" t="s">
        <v>114</v>
      </c>
      <c r="E24" s="17" t="s">
        <v>115</v>
      </c>
      <c r="F24" s="18" t="s">
        <v>116</v>
      </c>
      <c r="G24" s="76" t="s">
        <v>117</v>
      </c>
    </row>
    <row r="25" customFormat="false" ht="15" hidden="false" customHeight="true" outlineLevel="0" collapsed="false">
      <c r="A25" s="19" t="s">
        <v>73</v>
      </c>
      <c r="B25" s="77" t="n">
        <f aca="false">(('Trading Comps'!$B$34*$B$7)-$B$6)/$B$5</f>
        <v>207.082870996759</v>
      </c>
      <c r="C25" s="77" t="n">
        <f aca="false">(('Trading Comps'!$B$33*$B$7)-$B$6)/$B$5</f>
        <v>362.948150645655</v>
      </c>
      <c r="D25" s="77" t="n">
        <f aca="false">(('Trading Comps'!$B$35*$B$7)-$B$6)/$B$5</f>
        <v>741.584034057546</v>
      </c>
      <c r="E25" s="78" t="n">
        <f aca="false">MIN(B25:D25)</f>
        <v>207.082870996759</v>
      </c>
      <c r="F25" s="79" t="n">
        <f aca="false">MAX(B25:D25)-E25</f>
        <v>534.501163060787</v>
      </c>
      <c r="G25" s="80" t="n">
        <f aca="false">$B$4</f>
        <v>178.96</v>
      </c>
    </row>
    <row r="26" customFormat="false" ht="15" hidden="false" customHeight="true" outlineLevel="0" collapsed="false">
      <c r="A26" s="19" t="s">
        <v>74</v>
      </c>
      <c r="B26" s="77" t="n">
        <f aca="false">(('Trading Comps'!$C$34*$B$8)-$B$6)/$B$5</f>
        <v>161.00136839618</v>
      </c>
      <c r="C26" s="77" t="n">
        <f aca="false">(('Trading Comps'!$C$33*$B$8)-$B$6)/$B$5</f>
        <v>219.961382089803</v>
      </c>
      <c r="D26" s="77" t="n">
        <f aca="false">(('Trading Comps'!$C$35*$B$8)-$B$6)/$B$5</f>
        <v>374.787877269959</v>
      </c>
      <c r="E26" s="78" t="n">
        <f aca="false">MIN(B26:D26)</f>
        <v>161.00136839618</v>
      </c>
      <c r="F26" s="79" t="n">
        <f aca="false">MAX(B26:D26)-E26</f>
        <v>213.786508873778</v>
      </c>
      <c r="G26" s="80" t="n">
        <f aca="false">$B$4</f>
        <v>178.96</v>
      </c>
    </row>
    <row r="27" customFormat="false" ht="15" hidden="false" customHeight="true" outlineLevel="0" collapsed="false">
      <c r="A27" s="19" t="s">
        <v>75</v>
      </c>
      <c r="B27" s="77" t="n">
        <f aca="false">(('Trading Comps'!$D$34*$B$9)-$B$6)/$B$5</f>
        <v>156.381043041756</v>
      </c>
      <c r="C27" s="77" t="n">
        <f aca="false">(('Trading Comps'!$D$33*$B$9)-$B$6)/$B$5</f>
        <v>209.920732629564</v>
      </c>
      <c r="D27" s="77" t="n">
        <f aca="false">(('Trading Comps'!$D$35*$B$9)-$B$6)/$B$5</f>
        <v>326.564245853789</v>
      </c>
      <c r="E27" s="78" t="n">
        <f aca="false">MIN(B27:D27)</f>
        <v>156.381043041756</v>
      </c>
      <c r="F27" s="79" t="n">
        <f aca="false">MAX(B27:D27)-E27</f>
        <v>170.183202812033</v>
      </c>
      <c r="G27" s="80" t="n">
        <f aca="false">$B$4</f>
        <v>178.96</v>
      </c>
    </row>
    <row r="28" customFormat="false" ht="15" hidden="false" customHeight="true" outlineLevel="0" collapsed="false">
      <c r="A28" s="68" t="s">
        <v>76</v>
      </c>
      <c r="B28" s="81" t="n">
        <f aca="false">'Trading Comps'!$E$34*$B$11</f>
        <v>115.591304347826</v>
      </c>
      <c r="C28" s="81" t="n">
        <f aca="false">'Trading Comps'!$E$33*$B$11</f>
        <v>214.147666603867</v>
      </c>
      <c r="D28" s="81" t="n">
        <f aca="false">'Trading Comps'!$E$35*$B$11</f>
        <v>566.912910447761</v>
      </c>
      <c r="E28" s="73" t="n">
        <f aca="false">MIN(B28:D28)</f>
        <v>115.591304347826</v>
      </c>
      <c r="F28" s="82" t="n">
        <f aca="false">MAX(B28:D28)-E28</f>
        <v>451.321606099935</v>
      </c>
      <c r="G28" s="80" t="n">
        <f aca="false">$B$4</f>
        <v>178.96</v>
      </c>
    </row>
    <row r="30" customFormat="false" ht="15" hidden="false" customHeight="true" outlineLevel="0" collapsed="false">
      <c r="A30" s="6" t="s">
        <v>118</v>
      </c>
      <c r="B30" s="83" t="n">
        <f aca="false">$B$4</f>
        <v>178.96</v>
      </c>
    </row>
    <row r="32" customFormat="false" ht="15" hidden="false" customHeight="true" outlineLevel="0" collapsed="false">
      <c r="A32" s="55" t="s">
        <v>119</v>
      </c>
      <c r="B32" s="55"/>
      <c r="C32" s="55"/>
    </row>
    <row r="34" customFormat="false" ht="23.25" hidden="false" customHeight="true" outlineLevel="0" collapsed="false">
      <c r="A34" s="16" t="s">
        <v>78</v>
      </c>
      <c r="B34" s="17" t="s">
        <v>108</v>
      </c>
      <c r="C34" s="17" t="s">
        <v>109</v>
      </c>
      <c r="D34" s="18" t="s">
        <v>110</v>
      </c>
    </row>
    <row r="35" customFormat="false" ht="15" hidden="false" customHeight="true" outlineLevel="0" collapsed="false">
      <c r="A35" s="49" t="s">
        <v>79</v>
      </c>
      <c r="B35" s="84" t="n">
        <f aca="false">AVERAGE('Trading Comps'!B32*$B$7,'Trading Comps'!C32*$B$8,'Trading Comps'!D32*$B$9,('Trading Comps'!E32*$B$11)+$B$6)</f>
        <v>169801.176009041</v>
      </c>
      <c r="C35" s="84" t="n">
        <f aca="false">B35-$B$6</f>
        <v>171011.176009041</v>
      </c>
      <c r="D35" s="85" t="n">
        <f aca="false">C35/$B$5</f>
        <v>217.231528281495</v>
      </c>
    </row>
    <row r="36" customFormat="false" ht="15" hidden="false" customHeight="true" outlineLevel="0" collapsed="false">
      <c r="A36" s="49" t="s">
        <v>80</v>
      </c>
      <c r="B36" s="86" t="n">
        <f aca="false">AVERAGE('Trading Comps'!B33*$B$7,'Trading Comps'!C33*$B$8,'Trading Comps'!D33*$B$9,('Trading Comps'!E33*$B$11)+$B$6)</f>
        <v>154878.479367477</v>
      </c>
      <c r="C36" s="86" t="n">
        <f aca="false">B36-$B$6</f>
        <v>156088.479367477</v>
      </c>
      <c r="D36" s="87" t="n">
        <f aca="false">C36/$B$5</f>
        <v>198.275573044063</v>
      </c>
    </row>
    <row r="37" customFormat="false" ht="15" hidden="false" customHeight="true" outlineLevel="0" collapsed="false">
      <c r="A37" s="49" t="s">
        <v>81</v>
      </c>
      <c r="B37" s="84" t="n">
        <f aca="false">AVERAGE('Trading Comps'!B34*$B$7,'Trading Comps'!C34*$B$8,'Trading Comps'!D34*$B$9,('Trading Comps'!E34*$B$11)+$B$6)</f>
        <v>102037.598898853</v>
      </c>
      <c r="C37" s="84" t="n">
        <f aca="false">B37-$B$6</f>
        <v>103247.598898853</v>
      </c>
      <c r="D37" s="85" t="n">
        <f aca="false">C37/$B$5</f>
        <v>131.153028846529</v>
      </c>
    </row>
    <row r="38" customFormat="false" ht="15" hidden="false" customHeight="true" outlineLevel="0" collapsed="false">
      <c r="A38" s="52" t="s">
        <v>82</v>
      </c>
      <c r="B38" s="88" t="n">
        <f aca="false">AVERAGE('Trading Comps'!B35*$B$7,'Trading Comps'!C35*$B$8,'Trading Comps'!D35*$B$9,('Trading Comps'!E35*$B$11)+$B$6)</f>
        <v>282912.385982069</v>
      </c>
      <c r="C38" s="88" t="n">
        <f aca="false">B38-$B$6</f>
        <v>284122.385982069</v>
      </c>
      <c r="D38" s="69" t="n">
        <f aca="false">C38/$B$5</f>
        <v>360.914073373816</v>
      </c>
    </row>
    <row r="40" customFormat="false" ht="15" hidden="false" customHeight="true" outlineLevel="0" collapsed="false">
      <c r="A40" s="89" t="s">
        <v>120</v>
      </c>
      <c r="D40" s="90" t="n">
        <f aca="false">$B$4</f>
        <v>178.96</v>
      </c>
    </row>
    <row r="62" customFormat="false" ht="15" hidden="false" customHeight="true" outlineLevel="0" collapsed="false">
      <c r="A62" s="55" t="s">
        <v>121</v>
      </c>
      <c r="B62" s="55"/>
      <c r="C62" s="55"/>
      <c r="D62" s="55"/>
      <c r="E62" s="55"/>
    </row>
    <row r="64" customFormat="false" ht="15" hidden="false" customHeight="true" outlineLevel="0" collapsed="false">
      <c r="A64" s="16" t="s">
        <v>122</v>
      </c>
      <c r="B64" s="17" t="s">
        <v>123</v>
      </c>
      <c r="C64" s="17" t="s">
        <v>124</v>
      </c>
      <c r="D64" s="17" t="s">
        <v>125</v>
      </c>
      <c r="E64" s="18" t="s">
        <v>126</v>
      </c>
    </row>
    <row r="65" customFormat="false" ht="15" hidden="false" customHeight="true" outlineLevel="0" collapsed="false">
      <c r="A65" s="91" t="n">
        <v>-0.2</v>
      </c>
      <c r="B65" s="77" t="n">
        <f aca="false">(('Trading Comps'!$B$33*(1+$A65)*$B$7)-$B$6)/$B$5</f>
        <v>290.665927500505</v>
      </c>
      <c r="C65" s="77" t="n">
        <f aca="false">(('Trading Comps'!$C$33*(1+$A65)*$B$8)-$B$6)/$B$5</f>
        <v>176.276512655824</v>
      </c>
      <c r="D65" s="77" t="n">
        <f aca="false">(('Trading Comps'!$D$33*(1+$A65)*$B$9)-$B$6)/$B$5</f>
        <v>168.243993087633</v>
      </c>
      <c r="E65" s="85" t="n">
        <f aca="false">('Trading Comps'!$E$33*(1+$A65))*$B$11</f>
        <v>171.318133283093</v>
      </c>
    </row>
    <row r="66" customFormat="false" ht="15" hidden="false" customHeight="true" outlineLevel="0" collapsed="false">
      <c r="A66" s="91" t="n">
        <v>-0.1</v>
      </c>
      <c r="B66" s="77" t="n">
        <f aca="false">(('Trading Comps'!$B$33*(1+$A66)*$B$7)-$B$6)/$B$5</f>
        <v>326.80703907308</v>
      </c>
      <c r="C66" s="77" t="n">
        <f aca="false">(('Trading Comps'!$C$33*(1+$A66)*$B$8)-$B$6)/$B$5</f>
        <v>198.118947372814</v>
      </c>
      <c r="D66" s="77" t="n">
        <f aca="false">(('Trading Comps'!$D$33*(1+$A66)*$B$9)-$B$6)/$B$5</f>
        <v>189.082362858598</v>
      </c>
      <c r="E66" s="85" t="n">
        <f aca="false">('Trading Comps'!$E$33*(1+$A66))*$B$11</f>
        <v>192.73289994348</v>
      </c>
    </row>
    <row r="67" customFormat="false" ht="15" hidden="false" customHeight="true" outlineLevel="0" collapsed="false">
      <c r="A67" s="92" t="n">
        <v>0</v>
      </c>
      <c r="B67" s="93" t="n">
        <f aca="false">(('Trading Comps'!$B$33*(1+$A67)*$B$7)-$B$6)/$B$5</f>
        <v>362.948150645655</v>
      </c>
      <c r="C67" s="93" t="n">
        <f aca="false">(('Trading Comps'!$C$33*(1+$A67)*$B$8)-$B$6)/$B$5</f>
        <v>219.961382089803</v>
      </c>
      <c r="D67" s="93" t="n">
        <f aca="false">(('Trading Comps'!$D$33*(1+$A67)*$B$9)-$B$6)/$B$5</f>
        <v>209.920732629564</v>
      </c>
      <c r="E67" s="87" t="n">
        <f aca="false">('Trading Comps'!$E$33*(1+$A67))*$B$11</f>
        <v>214.147666603867</v>
      </c>
    </row>
    <row r="68" customFormat="false" ht="15" hidden="false" customHeight="true" outlineLevel="0" collapsed="false">
      <c r="A68" s="91" t="n">
        <v>0.1</v>
      </c>
      <c r="B68" s="77" t="n">
        <f aca="false">(('Trading Comps'!$B$33*(1+$A68)*$B$7)-$B$6)/$B$5</f>
        <v>399.089262218229</v>
      </c>
      <c r="C68" s="77" t="n">
        <f aca="false">(('Trading Comps'!$C$33*(1+$A68)*$B$8)-$B$6)/$B$5</f>
        <v>241.803816806793</v>
      </c>
      <c r="D68" s="77" t="n">
        <f aca="false">(('Trading Comps'!$D$33*(1+$A68)*$B$9)-$B$6)/$B$5</f>
        <v>230.759102400529</v>
      </c>
      <c r="E68" s="85" t="n">
        <f aca="false">('Trading Comps'!$E$33*(1+$A68))*$B$11</f>
        <v>235.562433264253</v>
      </c>
    </row>
    <row r="69" customFormat="false" ht="15" hidden="false" customHeight="true" outlineLevel="0" collapsed="false">
      <c r="A69" s="94" t="n">
        <v>0.2</v>
      </c>
      <c r="B69" s="81" t="n">
        <f aca="false">(('Trading Comps'!$B$33*(1+$A69)*$B$7)-$B$6)/$B$5</f>
        <v>435.230373790804</v>
      </c>
      <c r="C69" s="81" t="n">
        <f aca="false">(('Trading Comps'!$C$33*(1+$A69)*$B$8)-$B$6)/$B$5</f>
        <v>263.646251523782</v>
      </c>
      <c r="D69" s="81" t="n">
        <f aca="false">(('Trading Comps'!$D$33*(1+$A69)*$B$9)-$B$6)/$B$5</f>
        <v>251.597472171495</v>
      </c>
      <c r="E69" s="69" t="n">
        <f aca="false">('Trading Comps'!$E$33*(1+$A69))*$B$11</f>
        <v>256.97719992464</v>
      </c>
    </row>
    <row r="71" customFormat="false" ht="15" hidden="false" customHeight="true" outlineLevel="0" collapsed="false">
      <c r="A71" s="95" t="s">
        <v>127</v>
      </c>
    </row>
    <row r="73" customFormat="false" ht="15" hidden="false" customHeight="true" outlineLevel="0" collapsed="false">
      <c r="A73" s="55" t="s">
        <v>128</v>
      </c>
      <c r="B73" s="55"/>
      <c r="C73" s="55"/>
      <c r="D73" s="55"/>
      <c r="E73" s="55"/>
    </row>
    <row r="75" customFormat="false" ht="23.25" hidden="false" customHeight="true" outlineLevel="0" collapsed="false">
      <c r="A75" s="11" t="s">
        <v>129</v>
      </c>
      <c r="B75" s="96" t="n">
        <f aca="false">($B$4-D36)/D36</f>
        <v>-0.0974178147490215</v>
      </c>
      <c r="C75" s="97" t="str">
        <f aca="false">CONCATENATE("Airbus trades at a ",IF(B75&lt;0,"discount","premium")," to the median comp-implied share price (EUR ",TEXT($B$4,"0.00")," actual vs EUR ",TEXT(D36,"0.00")," implied).")</f>
        <v>Airbus trades at a discount to the median comp-implied share price (EUR 178.96 actual vs EUR 198.28 implied).</v>
      </c>
      <c r="D75" s="97"/>
      <c r="E75" s="97"/>
      <c r="F75" s="97"/>
      <c r="G75" s="97"/>
    </row>
    <row r="77" customFormat="false" ht="30" hidden="false" customHeight="true" outlineLevel="0" collapsed="false">
      <c r="A77" s="98" t="s">
        <v>130</v>
      </c>
      <c r="B77" s="99" t="s">
        <v>131</v>
      </c>
      <c r="C77" s="99"/>
      <c r="D77" s="99"/>
      <c r="E77" s="99"/>
      <c r="F77" s="99"/>
      <c r="G77" s="99"/>
    </row>
    <row r="79" customFormat="false" ht="30" hidden="false" customHeight="true" outlineLevel="0" collapsed="false">
      <c r="A79" s="98" t="s">
        <v>132</v>
      </c>
      <c r="B79" s="99" t="s">
        <v>133</v>
      </c>
      <c r="C79" s="99"/>
      <c r="D79" s="99"/>
      <c r="E79" s="99"/>
      <c r="F79" s="99"/>
      <c r="G79" s="99"/>
    </row>
    <row r="81" customFormat="false" ht="30" hidden="false" customHeight="true" outlineLevel="0" collapsed="false">
      <c r="A81" s="98" t="s">
        <v>134</v>
      </c>
      <c r="B81" s="99" t="s">
        <v>135</v>
      </c>
      <c r="C81" s="99"/>
      <c r="D81" s="99"/>
      <c r="E81" s="99"/>
      <c r="F81" s="99"/>
      <c r="G81" s="99"/>
    </row>
  </sheetData>
  <mergeCells count="5">
    <mergeCell ref="A20:F20"/>
    <mergeCell ref="C75:G75"/>
    <mergeCell ref="B77:G77"/>
    <mergeCell ref="B79:G79"/>
    <mergeCell ref="B81:G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2026-08-05T21:33:43Z</dcterms:created>
  <dc:creator>Parameswari Chinareddy</dc:creator>
  <dc:description/>
  <dc:language>en-US</dc:language>
  <cp:lastModifiedBy/>
  <dcterms:modified xsi:type="dcterms:W3CDTF">2026-08-06T10:12:54Z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