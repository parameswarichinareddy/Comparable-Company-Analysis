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Guide" sheetId="1" state="visible" r:id="rId3"/>
    <sheet name="Assumptions" sheetId="2" state="visible" r:id="rId4"/>
    <sheet name="Sources" sheetId="3" state="visible" r:id="rId5"/>
    <sheet name="Trading Comps" sheetId="4" state="visible" r:id="rId6"/>
    <sheet name="Implied Valuation" sheetId="5" state="visible" r:id="rId7"/>
    <sheet name="Luxury Industry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<sst xmlns="http://schemas.openxmlformats.org/spreadsheetml/2006/main" count="406" uniqueCount="257">
  <si>
    <t xml:space="preserve">LVMH - COMPARABLE COMPANIES ANALYSIS (TRADING COMPS)</t>
  </si>
  <si>
    <t xml:space="preserve">LTM/TTM basis, native reporting currency per company - see Sources below for exact data dates</t>
  </si>
  <si>
    <t xml:space="preserve">COLOR LEGEND</t>
  </si>
  <si>
    <t xml:space="preserve">Blue text</t>
  </si>
  <si>
    <t xml:space="preserve">Hardcoded input, sourced from the company's own LTM financials as reported by S&amp;P Global Market Intelligence.</t>
  </si>
  <si>
    <t xml:space="preserve">Black text</t>
  </si>
  <si>
    <t xml:space="preserve">Formula calculated from other cells on the same sheet.</t>
  </si>
  <si>
    <t xml:space="preserve">Green text</t>
  </si>
  <si>
    <t xml:space="preserve">Link pulling a value from a different sheet in this workbook.</t>
  </si>
  <si>
    <t xml:space="preserve">Yellow fill</t>
  </si>
  <si>
    <t xml:space="preserve">Key output.</t>
  </si>
  <si>
    <t xml:space="preserve">Orange fill</t>
  </si>
  <si>
    <t xml:space="preserve">LVMH (the target) - shown alongside the comp set for reference, but excluded from Mean/Median/Min/Max.</t>
  </si>
  <si>
    <t xml:space="preserve">COMPANY OVERVIEW - LVMH</t>
  </si>
  <si>
    <t xml:space="preserve">LVMH Moet Hennessy - Louis Vuitton SE (EPA:MC) is the world's largest luxury goods group, operating ~75 Maisons across five segments: Wine &amp; Spirits (Moet, Hennessy), Fashion &amp; Leather Goods (Louis Vuitton, Dior, Fendi, Loro Piana), Perfumes &amp; Cosmetics (Parfums Christian Dior, Guerlain), Watches &amp; Jewelry (Tiffany &amp; Co., Bulgari, TAG Heuer) and Selective Retailing (Sephora, DFS). FY2025 revenue of ~EUR 80.8bn makes it roughly 5x the size of its nearest pure-play peer, so the comp set below is built on business-model and margin-structure similarity rather than exact scale.</t>
  </si>
  <si>
    <t xml:space="preserve">COMPARABLE SELECTION RATIONALE</t>
  </si>
  <si>
    <t xml:space="preserve">Hermes (EPA:RMS)</t>
  </si>
  <si>
    <t xml:space="preserve">Ultra-luxury leather goods peer; the closest read-across for LVMH's Fashion &amp; Leather Goods segment (Louis Vuitton, Dior) on brand positioning and pricing power, though smaller and single-segment.</t>
  </si>
  <si>
    <t xml:space="preserve">Limitations: single-Maison, no conglomerate discount/diversification effect; far smaller revenue base skews growth and margin comparisons.</t>
  </si>
  <si>
    <t xml:space="preserve">Vs. LVMH: superior margins/pricing power but 1/5th the scale and single-segment; still appropriate as the purest read on ultra-luxury leather goods economics within LVMH's largest segment.</t>
  </si>
  <si>
    <t xml:space="preserve">Kering (EPA:KER)</t>
  </si>
  <si>
    <t xml:space="preserve">Direct multi-brand luxury conglomerate peer (Gucci, Saint Laurent, Bottega Veneta); most comparable house structure to LVMH, currently in a margin-recovery phase which widens its multiples.</t>
  </si>
  <si>
    <t xml:space="preserve">Limitations: depressed near-term margins from Gucci turnaround distort multiples upward (denominator effect); not steady-state.</t>
  </si>
  <si>
    <t xml:space="preserve">Vs. LVMH: closest structural analog (multi-brand luxury house) though currently margin-impaired; still appropriate as the primary conglomerate-structure comp, with its P/E treated as NM (see Trading Comps).</t>
  </si>
  <si>
    <t xml:space="preserve">Richemont (SWX:CFR)</t>
  </si>
  <si>
    <t xml:space="preserve">Global luxury conglomerate skewed to Watches &amp; Jewelry (Cartier, Van Cleef &amp; Arpels) - the best available comp for LVMH's Watches &amp; Jewelry segment.</t>
  </si>
  <si>
    <t xml:space="preserve">Limitations: Mar fiscal year-end misaligns LTM window vs peers; Watches &amp; Jewelry-heavy mix is not representative of LVMH's Fashion &amp; Leather Goods weight.</t>
  </si>
  <si>
    <t xml:space="preserve">Vs. LVMH: comparable diversified-house model but weighted to hard luxury; still appropriate as the only listed large-cap proxy for LVMH's Watches &amp; Jewelry segment.</t>
  </si>
  <si>
    <t xml:space="preserve">Prada (HKG:1913)</t>
  </si>
  <si>
    <t xml:space="preserve">Fashion &amp; leather goods pure-play (Prada, Miu Miu) post-Versace acquisition; useful for benchmarking brand-portfolio integration economics similar to LVMH's serial M&amp;A model.</t>
  </si>
  <si>
    <t xml:space="preserve">Limitations: HKD-listed, thinner trading liquidity than European peers; recent Versace integration muddies underlying organic growth.</t>
  </si>
  <si>
    <t xml:space="preserve">Vs. LVMH: smaller and earlier-stage in its brand turnaround, but similar serial-acquisition strategy; still appropriate for benchmarking M&amp;A integration economics.</t>
  </si>
  <si>
    <t xml:space="preserve">Moncler (BIT:MONC)</t>
  </si>
  <si>
    <t xml:space="preserve">Smaller premium/luxury outerwear house; included for growth-profile and margin comparability at the higher end of 'accessible luxury'.</t>
  </si>
  <si>
    <t xml:space="preserve">Limitations: much smaller scale, single-category (outerwear) exposure limits read-across to LVMH's diversified portfolio.</t>
  </si>
  <si>
    <t xml:space="preserve">Vs. LVMH: narrower category exposure and smaller scale, but comparable premium positioning and growth algorithm; still appropriate as a growth/margin bookend.</t>
  </si>
  <si>
    <t xml:space="preserve">Brunello Cucinelli (BIT:BC)</t>
  </si>
  <si>
    <t xml:space="preserve">Ultra-premium ready-to-wear peer with a distinctive high-multiple, low-leverage profile; included as a growth/quality bookend to the comp set.</t>
  </si>
  <si>
    <t xml:space="preserve">Limitations: smallest, family-controlled, low free float; premium multiple reflects scarcity/quality more than comparable business mix.</t>
  </si>
  <si>
    <t xml:space="preserve">Vs. LVMH: far smaller and lower free float, but shares ultra-premium brand equity and pricing discipline; still appropriate as a quality/scarcity-premium bookend.</t>
  </si>
  <si>
    <t xml:space="preserve">COMPANIES CONSIDERED &amp; EXCLUDED</t>
  </si>
  <si>
    <t xml:space="preserve">L'Oreal (EPA:OR)</t>
  </si>
  <si>
    <t xml:space="preserve">Excluded: primarily mass/prestige beauty and cosmetics, not luxury fashion/leather goods/jewelry; different channel mix (mass retail, drugstore) and margin structure make it a poor read-across despite some Perfumes &amp; Cosmetics overlap.</t>
  </si>
  <si>
    <t xml:space="preserve">Burberry (LSE:BRBY)</t>
  </si>
  <si>
    <t xml:space="preserve">Excluded: smaller, single-brand, and mid-2020s brand-repositioning/turnaround distorts LTM margins and multiples to an outlier degree.</t>
  </si>
  <si>
    <t xml:space="preserve">Ferrari (BIT:RACE)</t>
  </si>
  <si>
    <t xml:space="preserve">Excluded: ultra-luxury by price point but automotive, not soft-luxury/fashion; different capex intensity, margin drivers and multiple basis.</t>
  </si>
  <si>
    <t xml:space="preserve">Estee Lauder (NYSE:EL)</t>
  </si>
  <si>
    <t xml:space="preserve">Excluded: prestige beauty, not fashion/leather goods; distribution model (department stores, travel retail) and current margin reset make multiples non-comparable.</t>
  </si>
  <si>
    <t xml:space="preserve">WHY MULTIPLES AREN'T CURRENCY-CONVERTED</t>
  </si>
  <si>
    <t xml:space="preserve">EV/Revenue, EV/EBITDA, EV/EBIT and P/E are unitless ratios - each comp's multiple is computed from its own numerator and denominator in its own reporting currency (EUR, CHF or HKD), so cross-currency comparison of the ratios is valid without FX conversion. Multiples are applied directly to LVMH's own EUR financials on the Implied Valuation tab, so all outputs are native EUR.</t>
  </si>
  <si>
    <t xml:space="preserve">TAB-BY-TAB WALKTHROUGH</t>
  </si>
  <si>
    <t xml:space="preserve">1. Trading Comps</t>
  </si>
  <si>
    <t xml:space="preserve">Input (LTM financials per comp), Calculations (Market Cap, EV, multiples), Output (Mean/Median/Min/Max), Operating Metrics (growth, margins, ROE) and Forward (NTM) Multiples sections.</t>
  </si>
  <si>
    <t xml:space="preserve">2. Implied Valuation</t>
  </si>
  <si>
    <t xml:space="preserve">Applies the comp set's median (and mean/min/max) multiples to LVMH's own LTM financials to derive implied EV, Equity Value and Share Price, plus the football field chart, sensitivity table and Key Takeaways.</t>
  </si>
  <si>
    <t xml:space="preserve">SOURCES (all via S&amp;P Global Market Intelligence, as republished by stockanalysis.com / Simply Wall St)</t>
  </si>
  <si>
    <t xml:space="preserve">-</t>
  </si>
  <si>
    <t xml:space="preserve">LVMH (EPA:MC): data as of Aug 5, 2026.</t>
  </si>
  <si>
    <t xml:space="preserve">Hermes (EPA:RMS): data as of Aug 5-6, 2026.</t>
  </si>
  <si>
    <t xml:space="preserve">Kering (EPA:KER): data as of Jul 30 - Aug 6, 2026.</t>
  </si>
  <si>
    <t xml:space="preserve">Richemont (SWX:CFR): data as of May-Aug 2026 (fiscal year to March).</t>
  </si>
  <si>
    <t xml:space="preserve">Prada (HKG:1913): data as of Jul-Oct 2025 / Aug 2026, quoted in HKD.</t>
  </si>
  <si>
    <t xml:space="preserve">Moncler (BIT:MONC): data as of Jul-Aug 2026.</t>
  </si>
  <si>
    <t xml:space="preserve">Brunello Cucinelli (BIT:BC): data as of Aug 2026.</t>
  </si>
  <si>
    <t xml:space="preserve">NOTE</t>
  </si>
  <si>
    <t xml:space="preserve">Comp data spans a research window of roughly Jul 2025-Aug 2026 across sources with differing update cadences (esp. Richemont's Mar fiscal year-end and Prada's HKD listing); several figures (EBIT, Shareholders' Equity, NTM estimates) are derived from reported margins/ROE/forward-PE rather than pulled as single verbatim line items. Refresh to a single as-of date and verify against company filings before using in a live deal context.</t>
  </si>
  <si>
    <t xml:space="preserve">LVMH - COMPARABLE COMPANIES ANALYSIS</t>
  </si>
  <si>
    <t xml:space="preserve">KEY DATES &amp; BASIS</t>
  </si>
  <si>
    <t xml:space="preserve">Valuation Date</t>
  </si>
  <si>
    <t xml:space="preserve">Aug 6, 2026</t>
  </si>
  <si>
    <t xml:space="preserve">Data Cut-Off Date</t>
  </si>
  <si>
    <t xml:space="preserve">Aug 6, 2026 (comp data collected Jul 30 - Aug 6, 2026; see Sources tab)</t>
  </si>
  <si>
    <t xml:space="preserve">Financial Basis</t>
  </si>
  <si>
    <t xml:space="preserve">LTM / TTM per company, native reporting currency (no FX conversion applied to multiples)</t>
  </si>
  <si>
    <t xml:space="preserve">CURRENT SHARE PRICES (as of Data Date, native currency)</t>
  </si>
  <si>
    <t xml:space="preserve">Company</t>
  </si>
  <si>
    <t xml:space="preserve">Ticker</t>
  </si>
  <si>
    <t xml:space="preserve">Currency</t>
  </si>
  <si>
    <t xml:space="preserve">Share Price</t>
  </si>
  <si>
    <t xml:space="preserve">Price Date</t>
  </si>
  <si>
    <t xml:space="preserve">LVMH</t>
  </si>
  <si>
    <t xml:space="preserve">MC</t>
  </si>
  <si>
    <t xml:space="preserve">EUR</t>
  </si>
  <si>
    <t xml:space="preserve">Aug 5, 2026</t>
  </si>
  <si>
    <t xml:space="preserve">Hermes</t>
  </si>
  <si>
    <t xml:space="preserve">RMS</t>
  </si>
  <si>
    <t xml:space="preserve">Kering</t>
  </si>
  <si>
    <t xml:space="preserve">KER</t>
  </si>
  <si>
    <t xml:space="preserve">Jul 30, 2026</t>
  </si>
  <si>
    <t xml:space="preserve">Richemont</t>
  </si>
  <si>
    <t xml:space="preserve">CFR</t>
  </si>
  <si>
    <t xml:space="preserve">CHF</t>
  </si>
  <si>
    <t xml:space="preserve">May 1, 2026</t>
  </si>
  <si>
    <t xml:space="preserve">Prada</t>
  </si>
  <si>
    <t xml:space="preserve">1913</t>
  </si>
  <si>
    <t xml:space="preserve">HKD</t>
  </si>
  <si>
    <t xml:space="preserve">Aug 2026</t>
  </si>
  <si>
    <t xml:space="preserve">Moncler</t>
  </si>
  <si>
    <t xml:space="preserve">MONC</t>
  </si>
  <si>
    <t xml:space="preserve">Jul 31, 2026</t>
  </si>
  <si>
    <t xml:space="preserve">Brunello Cucinelli</t>
  </si>
  <si>
    <t xml:space="preserve">BC</t>
  </si>
  <si>
    <t xml:space="preserve">FISCAL YEAR END (by company)</t>
  </si>
  <si>
    <t xml:space="preserve">Dec 31</t>
  </si>
  <si>
    <t xml:space="preserve">Mar 31</t>
  </si>
  <si>
    <t xml:space="preserve">Dec 31 (HKD listing)</t>
  </si>
  <si>
    <t xml:space="preserve">MODELLING ASSUMPTIONS</t>
  </si>
  <si>
    <t xml:space="preserve">- Multiples (EV/Revenue, EV/EBITDA, EV/EBIT, P/E) are unitless ratios computed within each company's own currency - not cross-currency converted.</t>
  </si>
  <si>
    <t xml:space="preserve">- LVMH is shown for reference alongside the comp set but excluded from Mean/Median/Min/Max statistics.</t>
  </si>
  <si>
    <t xml:space="preserve">- Implied valuation applies comp set median (and mean/min/max) multiples to LVMH's own LTM financials.</t>
  </si>
  <si>
    <t xml:space="preserve">- Net debt, EPS and other inputs are hardcoded from source data (blue text); all other cells are formulas (black) or cross-sheet links (green).</t>
  </si>
  <si>
    <t xml:space="preserve">- Comp data spans a research window of ~Jul 2025-Aug 2026 across sources with differing update cadences (esp. Richemont FY to March, Prada HKD listing).</t>
  </si>
  <si>
    <t xml:space="preserve">DATA SOURCES</t>
  </si>
  <si>
    <t xml:space="preserve">Primary Source</t>
  </si>
  <si>
    <t xml:space="preserve">Source Type</t>
  </si>
  <si>
    <t xml:space="preserve">Data Items Sourced</t>
  </si>
  <si>
    <t xml:space="preserve">As-Of Date / Period</t>
  </si>
  <si>
    <t xml:space="preserve">LVMH (EPA:MC)</t>
  </si>
  <si>
    <t xml:space="preserve">Company IR / Annual Report; S&amp;P Global Mkt Intelligence via stockanalysis.com</t>
  </si>
  <si>
    <t xml:space="preserve">Company IR, Annual Report, Market Data Aggregator</t>
  </si>
  <si>
    <t xml:space="preserve">Share price, shares o/s, net debt, revenue, EBITDA, EBIT, net income, EPS, NTM estimates</t>
  </si>
  <si>
    <t xml:space="preserve">Aug 5, 2026 (FY2025 Annual Report)</t>
  </si>
  <si>
    <t xml:space="preserve">S&amp;P Global Mkt Intelligence via stockanalysis.com / Simply Wall St</t>
  </si>
  <si>
    <t xml:space="preserve">Market Data Aggregator</t>
  </si>
  <si>
    <t xml:space="preserve">Same LTM/NTM financial line items as above</t>
  </si>
  <si>
    <t xml:space="preserve">Aug 5-6, 2026</t>
  </si>
  <si>
    <t xml:space="preserve">Jul 30 - Aug 6, 2026</t>
  </si>
  <si>
    <t xml:space="preserve">May-Aug 2026 (FY to March)</t>
  </si>
  <si>
    <t xml:space="preserve">Same LTM/NTM financial line items as above, quoted in HKD</t>
  </si>
  <si>
    <t xml:space="preserve">Jul-Oct 2025 / Aug 2026</t>
  </si>
  <si>
    <t xml:space="preserve">Jul-Aug 2026</t>
  </si>
  <si>
    <t xml:space="preserve">OTHER REFERENCE SOURCES</t>
  </si>
  <si>
    <t xml:space="preserve">Company Annual Reports / 10-K / 20-F equivalents</t>
  </si>
  <si>
    <t xml:space="preserve">Segment detail, business description, Maison/brand portfolio (Model Guide tab)</t>
  </si>
  <si>
    <t xml:space="preserve">Investor Presentations</t>
  </si>
  <si>
    <t xml:space="preserve">Strategic commentary, segment margin bridges (qualitative context only, not hardcoded)</t>
  </si>
  <si>
    <t xml:space="preserve">Yahoo Finance</t>
  </si>
  <si>
    <t xml:space="preserve">Cross-check / secondary reference for share price and market data</t>
  </si>
  <si>
    <t xml:space="preserve">Macrotrends</t>
  </si>
  <si>
    <t xml:space="preserve">Historical trend cross-check for revenue/margin sanity-checking</t>
  </si>
  <si>
    <t xml:space="preserve">Comp data spans a research window of roughly Jul 2025-Aug 2026 across sources with differing update cadences; see Model Guide tab for full detail.</t>
  </si>
  <si>
    <t xml:space="preserve">INPUT - COMPARABLE COMPANY DATA (LTM / TTM, native reporting currency)</t>
  </si>
  <si>
    <t xml:space="preserve">Ccy</t>
  </si>
  <si>
    <t xml:space="preserve">Shares O/S (m)</t>
  </si>
  <si>
    <t xml:space="preserve">Net Debt (m)</t>
  </si>
  <si>
    <t xml:space="preserve">Revenue LTM (m)</t>
  </si>
  <si>
    <t xml:space="preserve">EBITDA LTM (m)</t>
  </si>
  <si>
    <t xml:space="preserve">EBIT LTM (m)</t>
  </si>
  <si>
    <t xml:space="preserve">Net Income LTM (m)</t>
  </si>
  <si>
    <t xml:space="preserve">EPS LTM</t>
  </si>
  <si>
    <t xml:space="preserve">Data Date</t>
  </si>
  <si>
    <t xml:space="preserve">Prior Yr Revenue (m)</t>
  </si>
  <si>
    <t xml:space="preserve">Shareholders' Equity (m)</t>
  </si>
  <si>
    <t xml:space="preserve">NTM Revenue (m)</t>
  </si>
  <si>
    <t xml:space="preserve">NTM EPS</t>
  </si>
  <si>
    <t xml:space="preserve">LVMH (TARGET)</t>
  </si>
  <si>
    <t xml:space="preserve">CALCULATIONS - MARKET CAP, ENTERPRISE VALUE &amp; TRADING MULTIPLES (LTM)</t>
  </si>
  <si>
    <t xml:space="preserve">Market Cap (m)</t>
  </si>
  <si>
    <t xml:space="preserve">Enterprise Value (m)</t>
  </si>
  <si>
    <t xml:space="preserve">EV / Revenue</t>
  </si>
  <si>
    <t xml:space="preserve">EV / EBITDA</t>
  </si>
  <si>
    <t xml:space="preserve">EV / EBIT</t>
  </si>
  <si>
    <t xml:space="preserve">P / E *</t>
  </si>
  <si>
    <t xml:space="preserve">OUTPUT - SUMMARY STATISTICS (6 comparable companies; LVMH excluded)</t>
  </si>
  <si>
    <t xml:space="preserve">Statistic</t>
  </si>
  <si>
    <t xml:space="preserve">P / E</t>
  </si>
  <si>
    <t xml:space="preserve">Mean</t>
  </si>
  <si>
    <t xml:space="preserve">Median</t>
  </si>
  <si>
    <t xml:space="preserve">Minimum</t>
  </si>
  <si>
    <t xml:space="preserve">Maximum</t>
  </si>
  <si>
    <t xml:space="preserve">* Kering's P/E of ~489x is NM (near-breakeven LTM net income) and is excluded from the Mean/Median/Min/Max; retained in the input/calc rows above for transparency.</t>
  </si>
  <si>
    <t xml:space="preserve">OPERATING METRICS</t>
  </si>
  <si>
    <t xml:space="preserve">Revenue Growth %</t>
  </si>
  <si>
    <t xml:space="preserve">EBITDA Margin %</t>
  </si>
  <si>
    <t xml:space="preserve">EBIT Margin %</t>
  </si>
  <si>
    <t xml:space="preserve">Net Margin %</t>
  </si>
  <si>
    <t xml:space="preserve">ROE %</t>
  </si>
  <si>
    <t xml:space="preserve">FORWARD VALUATION MULTIPLES (NTM) - clearly distinct from LTM multiples above</t>
  </si>
  <si>
    <t xml:space="preserve">EV/Revenue (NTM)</t>
  </si>
  <si>
    <t xml:space="preserve">EV/EBITDA (NTM)</t>
  </si>
  <si>
    <t xml:space="preserve">EV/EBIT (NTM)</t>
  </si>
  <si>
    <t xml:space="preserve">P/E (NTM)</t>
  </si>
  <si>
    <t xml:space="preserve">LVMH - IMPLIED VALUATION FROM TRADING COMPS</t>
  </si>
  <si>
    <t xml:space="preserve">LVMH - LTM FINANCIALS (linked from Trading Comps)</t>
  </si>
  <si>
    <t xml:space="preserve">Share Price (EUR)</t>
  </si>
  <si>
    <t xml:space="preserve">Shares Outstanding (m)</t>
  </si>
  <si>
    <t xml:space="preserve">Net Debt (EURm)</t>
  </si>
  <si>
    <t xml:space="preserve">Revenue LTM (EURm)</t>
  </si>
  <si>
    <t xml:space="preserve">EBITDA LTM (EURm)</t>
  </si>
  <si>
    <t xml:space="preserve">EBIT LTM (EURm)</t>
  </si>
  <si>
    <t xml:space="preserve">Net Income LTM (EURm)</t>
  </si>
  <si>
    <t xml:space="preserve">EPS LTM (EUR)</t>
  </si>
  <si>
    <t xml:space="preserve">IMPLIED VALUATION BY METHODOLOGY (median comp multiple applied to LVMH)</t>
  </si>
  <si>
    <t xml:space="preserve">Methodology</t>
  </si>
  <si>
    <t xml:space="preserve">Median Multiple</t>
  </si>
  <si>
    <t xml:space="preserve">LVMH Metric (EURm)</t>
  </si>
  <si>
    <t xml:space="preserve">Implied EV (EURm)</t>
  </si>
  <si>
    <t xml:space="preserve">Implied Equity Value (EURm)</t>
  </si>
  <si>
    <t xml:space="preserve">Implied Share Price (EUR)</t>
  </si>
  <si>
    <t xml:space="preserve">Note: EV/Revenue and P/E ranges are wide - the comp set spans Kering (margin-impaired) to Hermes/Brunello Cucinelli (premium-rated). EV/EBITDA and EV/EBIT are the more defensible read for this comp set; treat EV/Revenue as a sanity check only.</t>
  </si>
  <si>
    <t xml:space="preserve">FOOTBALL FIELD - IMPLIED SHARE PRICE RANGE (EUR)</t>
  </si>
  <si>
    <t xml:space="preserve">Low (Min multiple)</t>
  </si>
  <si>
    <t xml:space="preserve">High (Max multiple)</t>
  </si>
  <si>
    <t xml:space="preserve">Bar Base (=Low)</t>
  </si>
  <si>
    <t xml:space="preserve">Bar Range (High-Low)</t>
  </si>
  <si>
    <t xml:space="preserve">Current Price (ref)</t>
  </si>
  <si>
    <t xml:space="preserve">Current Price</t>
  </si>
  <si>
    <t xml:space="preserve">P25</t>
  </si>
  <si>
    <t xml:space="preserve">P75</t>
  </si>
  <si>
    <t xml:space="preserve">Current Share Price (reference line)</t>
  </si>
  <si>
    <t xml:space="preserve">25th Percentile (implied price)</t>
  </si>
  <si>
    <t xml:space="preserve">75th Percentile (implied price)</t>
  </si>
  <si>
    <t xml:space="preserve">Current Share Price (reference)</t>
  </si>
  <si>
    <t xml:space="preserve">SENSITIVITY ANALYSIS - IMPLIED SHARE PRICE vs. MULTIPLE FLEX (EUR)</t>
  </si>
  <si>
    <t xml:space="preserve">Multiple Flex</t>
  </si>
  <si>
    <t xml:space="preserve">EV/Revenue</t>
  </si>
  <si>
    <t xml:space="preserve">EV/EBITDA</t>
  </si>
  <si>
    <t xml:space="preserve">EV/EBIT</t>
  </si>
  <si>
    <t xml:space="preserve">P/E</t>
  </si>
  <si>
    <t xml:space="preserve">Flex applied to each methodology's median comp multiple (Trading Comps row 33); 0% = base case shown in the Implied Valuation Summary above.</t>
  </si>
  <si>
    <t xml:space="preserve">VALUATION CONCLUSION</t>
  </si>
  <si>
    <t xml:space="preserve">Premium / (Discount) to Peers:</t>
  </si>
  <si>
    <t xml:space="preserve">Peer-by-Peer Read:</t>
  </si>
  <si>
    <t xml:space="preserve">LVMH trades below Hermes on every multiple (EV/EBITDA ~10.8x vs. ~29.4x) - Hermes' structural premium reflects single-Maison scarcity, ~45% EBITDA margins and no conglomerate/diversification discount, whereas LVMH's portfolio breadth caps peak margins but reduces earnings volatility. Kering screens cheaper on EV/Revenue (~3.4x vs. LVMH ~3.2x, in-line) and its EV/EBIT and P/E are mechanically inflated by Gucci's earnings trough - once margins normalize, Kering's multiples should re-rate toward the peer set, making its current P/E NM rather than a genuine premium.</t>
  </si>
  <si>
    <t xml:space="preserve">Most Reliable Multiple:</t>
  </si>
  <si>
    <t xml:space="preserve">EV/EBITDA is the primary reference multiple: it neutralizes D&amp;A policy and capital-structure/leverage differences across a comp set spanning asset-light houses (Hermes) to more capital-intensive, recently-releveraged peers (Prada post-Versace). EV/EBIT corroborates this read. P/E is distorted by Kering's depressed near-term earnings and is de-weighted; EV/Revenue is retained only as a sanity check, as it ignores material margin dispersion across the set.</t>
  </si>
  <si>
    <t xml:space="preserve">Main Valuation Drivers:</t>
  </si>
  <si>
    <t xml:space="preserve">Brand pricing power and continued premiumization; segment mix shift toward higher-margin Leather Goods and Watches &amp; Jewelry; recovery in Chinese and US aspirational-luxury demand; disciplined retail network expansion and opex leverage; and successful integration/margin accretion from recent M&amp;A (Tiffany, Bulgari).</t>
  </si>
  <si>
    <t xml:space="preserve">Key Risks:</t>
  </si>
  <si>
    <t xml:space="preserve">Prolonged softness in Chinese and US discretionary spend; FX translation risk given the comp set's EUR/CHF/HKD mix; integration and brand-execution risk at recently acquired Maisons; multiple-set dispersion (Kering's earnings trough vs. Hermes/Brunello Cucinelli's scarcity premia) widening the implied valuation range; and potential margin compression from input-cost inflation or aggressive promotional activity across the sector.</t>
  </si>
  <si>
    <t xml:space="preserve">LUXURY INDUSTRY DASHBOARD</t>
  </si>
  <si>
    <t xml:space="preserve">BRAND PORTFOLIO</t>
  </si>
  <si>
    <t xml:space="preserve"># Major Maisons</t>
  </si>
  <si>
    <t xml:space="preserve">Key Brands</t>
  </si>
  <si>
    <t xml:space="preserve">Louis Vuitton, Dior, Fendi, Tiffany &amp; Co., Bulgari, Moet &amp; Chandon, Hennessy, Sephora</t>
  </si>
  <si>
    <t xml:space="preserve">Hermes (single-Maison house)</t>
  </si>
  <si>
    <t xml:space="preserve">Gucci, Saint Laurent, Bottega Veneta, Balenciaga, Alexander McQueen</t>
  </si>
  <si>
    <t xml:space="preserve">Cartier, Van Cleef &amp; Arpels, IWC, Jaeger-LeCoultre, Montblanc, Chloe</t>
  </si>
  <si>
    <t xml:space="preserve">Prada, Miu Miu, Versace, Church's</t>
  </si>
  <si>
    <t xml:space="preserve">Moncler, Stone Island</t>
  </si>
  <si>
    <t xml:space="preserve">Brunello Cucinelli (single-brand house)</t>
  </si>
  <si>
    <t xml:space="preserve">GEOGRAPHIC REVENUE MIX (approximate, illustrative - see note)</t>
  </si>
  <si>
    <t xml:space="preserve">Europe %</t>
  </si>
  <si>
    <t xml:space="preserve">Americas %</t>
  </si>
  <si>
    <t xml:space="preserve">Asia-Pacific %</t>
  </si>
  <si>
    <t xml:space="preserve">Other %</t>
  </si>
  <si>
    <t xml:space="preserve">Note: illustrative regional splits based on general company disclosure patterns (not pulled line-by-line from each 10-K/annual report); verify against each company's segment reporting before use.</t>
  </si>
  <si>
    <t xml:space="preserve">REVENUE GROWTH, OPERATING MARGIN &amp; MARKET CAPITALIZATION (linked from Trading Comps)</t>
  </si>
  <si>
    <t xml:space="preserve">Operating Margin %</t>
  </si>
  <si>
    <t xml:space="preserve">Market Cap (native ccy, m)</t>
  </si>
  <si>
    <t xml:space="preserve">Note: Market Cap shown in each company's native reporting currency (EUR/CHF/HKD) - not FX-adjusted; see Model Guide.</t>
  </si>
  <si>
    <t xml:space="preserve">KEY DIFFERENCES: LVMH vs. PEER GROUP</t>
  </si>
  <si>
    <t xml:space="preserve">- Scale &amp; diversification: ~75 Maisons across 5 segments vs. peers' 1-20 brands - LVMH's market cap (~EUR233bn) is ~2.6x Hermes and ~5x the next-largest conglomerate peer.</t>
  </si>
  <si>
    <t xml:space="preserve">- Margin profile: LVMH's ~29% EBITDA margin trails Hermes (~45%, single-Maison pricing power) but leads Kering (~20%, mid-turnaround) and sits mid-pack overall.</t>
  </si>
  <si>
    <t xml:space="preserve">- Growth: LVMH LTM revenue growth (-4.6%) lags the peer set - Brunello Cucinelli (+9.9%) and Hermes (+6.3%) outgrow, while Kering (-13.0%) underperforms.</t>
  </si>
  <si>
    <t xml:space="preserve">- Takeaway: LVMH trades as a diversified, lower-volatility mega-cap - scale over best-in-class margins/growth, consistent with its discount to peer-median multiples.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</si>
</sst>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;\(#,##0.00\);\-"/>
    <numFmt numFmtId="166" formatCode="#,##0;\(#,##0\);\-"/>
    <numFmt numFmtId="167" formatCode="0.0\x"/>
    <numFmt numFmtId="168" formatCode="0.0%"/>
    <numFmt numFmtId="169" formatCode="\+0%;\-0%;0%"/>
    <numFmt numFmtId="170" formatCode="\+0.0%;\-0.0%;0%"/>
    <numFmt numFmtId="171" formatCode="[$-409]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E4D6"/>
        <bgColor rgb="FFD9D9D9"/>
      </patternFill>
    </fill>
    <fill>
      <patternFill patternType="solid">
        <fgColor rgb="FFD9D9D9"/>
        <bgColor rgb="FFD9E2F3"/>
      </patternFill>
    </fill>
    <fill>
      <patternFill patternType="solid">
        <fgColor rgb="FF595959"/>
        <bgColor rgb="FF2E5395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>
        <color rgb="FF595959"/>
      </left>
      <right style="thin">
        <color rgb="FFA6A6A6"/>
      </right>
      <top style="medium">
        <color rgb="FF595959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medium">
        <color rgb="FF595959"/>
      </top>
      <bottom style="thin">
        <color rgb="FFA6A6A6"/>
      </bottom>
      <diagonal/>
    </border>
    <border diagonalUp="false" diagonalDown="false">
      <left style="thin">
        <color rgb="FFA6A6A6"/>
      </left>
      <right style="medium">
        <color rgb="FF595959"/>
      </right>
      <top style="medium">
        <color rgb="FF595959"/>
      </top>
      <bottom style="thin">
        <color rgb="FFA6A6A6"/>
      </bottom>
      <diagonal/>
    </border>
    <border diagonalUp="false" diagonalDown="false">
      <left style="medium">
        <color rgb="FF595959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medium">
        <color rgb="FF595959"/>
      </right>
      <top style="thin">
        <color rgb="FFA6A6A6"/>
      </top>
      <bottom style="thin">
        <color rgb="FFA6A6A6"/>
      </bottom>
      <diagonal/>
    </border>
    <border diagonalUp="false" diagonalDown="false">
      <left style="medium">
        <color rgb="FF595959"/>
      </left>
      <right style="thin">
        <color rgb="FFA6A6A6"/>
      </right>
      <top style="thin">
        <color rgb="FFA6A6A6"/>
      </top>
      <bottom style="medium">
        <color rgb="FF595959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medium">
        <color rgb="FF595959"/>
      </bottom>
      <diagonal/>
    </border>
    <border diagonalUp="false" diagonalDown="false">
      <left style="thin">
        <color rgb="FFA6A6A6"/>
      </left>
      <right style="medium">
        <color rgb="FF595959"/>
      </right>
      <top style="thin">
        <color rgb="FFA6A6A6"/>
      </top>
      <bottom style="medium">
        <color rgb="FF595959"/>
      </bottom>
      <diagonal/>
    </border>
    <border diagonalUp="false" diagonalDown="false">
      <left style="thin">
        <color rgb="FFA6A6A6"/>
      </left>
      <right style="thin">
        <color rgb="FFA6A6A6"/>
      </right>
      <top style="medium">
        <color rgb="FF595959"/>
      </top>
      <bottom style="medium">
        <color rgb="FF59595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2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2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2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6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6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3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8FAADC"/>
      <rgbColor rgb="FF993366"/>
      <rgbColor rgb="FFFCE4D6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A6A6A6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E5395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LVMH - Football Field Valuation (Implied Share Price, 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'Implied Valuation'!E24</c:f>
              <c:strCache>
                <c:ptCount val="1"/>
                <c:pt idx="0">
                  <c:v>Bar Base (=Low)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'Implied Valuation'!$A$25:$A$28</c:f>
              <c:strCache>
                <c:ptCount val="4"/>
                <c:pt idx="0">
                  <c:v>EV / Revenue</c:v>
                </c:pt>
                <c:pt idx="1">
                  <c:v>EV / EBITDA</c:v>
                </c:pt>
                <c:pt idx="2">
                  <c:v>EV / EBIT</c:v>
                </c:pt>
                <c:pt idx="3">
                  <c:v>P / E</c:v>
                </c:pt>
              </c:strCache>
            </c:strRef>
          </c:cat>
          <c:val>
            <c:numRef>
              <c:f>'Implied Valuation'!$E$25:$E$28</c:f>
              <c:numCache>
                <c:formatCode>#,##0.00;\(#,##0.00\);\-</c:formatCode>
                <c:ptCount val="4"/>
                <c:pt idx="0">
                  <c:v>360.947898911481</c:v>
                </c:pt>
                <c:pt idx="1">
                  <c:v>1086.40470635255</c:v>
                </c:pt>
                <c:pt idx="2">
                  <c:v>1472.40551448122</c:v>
                </c:pt>
                <c:pt idx="3">
                  <c:v>279.335789473684</c:v>
                </c:pt>
              </c:numCache>
            </c:numRef>
          </c:val>
        </c:ser>
        <c:ser>
          <c:idx val="1"/>
          <c:order val="1"/>
          <c:tx>
            <c:strRef>
              <c:f>'Implied Valuation'!F24</c:f>
              <c:strCache>
                <c:ptCount val="1"/>
                <c:pt idx="0">
                  <c:v>Bar Range (High-Low)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'Implied Valuation'!$A$25:$A$28</c:f>
              <c:strCache>
                <c:ptCount val="4"/>
                <c:pt idx="0">
                  <c:v>EV / Revenue</c:v>
                </c:pt>
                <c:pt idx="1">
                  <c:v>EV / EBITDA</c:v>
                </c:pt>
                <c:pt idx="2">
                  <c:v>EV / EBIT</c:v>
                </c:pt>
                <c:pt idx="3">
                  <c:v>P / E</c:v>
                </c:pt>
              </c:strCache>
            </c:strRef>
          </c:cat>
          <c:val>
            <c:numRef>
              <c:f>'Implied Valuation'!$F$25:$F$28</c:f>
              <c:numCache>
                <c:formatCode>#,##0.00;\(#,##0.00\);\-</c:formatCode>
                <c:ptCount val="4"/>
                <c:pt idx="0">
                  <c:v>1735.64263214994</c:v>
                </c:pt>
                <c:pt idx="1">
                  <c:v>3652.40302182107</c:v>
                </c:pt>
                <c:pt idx="2">
                  <c:v>3606.92826324582</c:v>
                </c:pt>
                <c:pt idx="3">
                  <c:v>803.410257037944</c:v>
                </c:pt>
              </c:numCache>
            </c:numRef>
          </c:val>
        </c:ser>
        <c:gapWidth val="60"/>
        <c:overlap val="100"/>
        <c:axId val="29714449"/>
        <c:axId val="1747851"/>
      </c:barChart>
      <c:lineChart>
        <c:grouping val="stacked"/>
        <c:varyColors val="0"/>
        <c:ser>
          <c:idx val="2"/>
          <c:order val="2"/>
          <c:tx>
            <c:strRef>
              <c:f>'Implied Valuation'!G24</c:f>
              <c:strCache>
                <c:ptCount val="1"/>
                <c:pt idx="0">
                  <c:v>Current Price (ref)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diamond"/>
            <c:size val="9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'Implied Valuation'!$A$25:$A$28</c:f>
              <c:strCache>
                <c:ptCount val="4"/>
                <c:pt idx="0">
                  <c:v>EV / Revenue</c:v>
                </c:pt>
                <c:pt idx="1">
                  <c:v>EV / EBITDA</c:v>
                </c:pt>
                <c:pt idx="2">
                  <c:v>EV / EBIT</c:v>
                </c:pt>
                <c:pt idx="3">
                  <c:v>P / E</c:v>
                </c:pt>
              </c:strCache>
            </c:strRef>
          </c:cat>
          <c:val>
            <c:numRef>
              <c:f>'Implied Valuation'!$G$25:$G$28</c:f>
              <c:numCache>
                <c:formatCode>#,##0.00;\(#,##0.00\);\-</c:formatCode>
                <c:ptCount val="4"/>
                <c:pt idx="0">
                  <c:v>468.55</c:v>
                </c:pt>
                <c:pt idx="1">
                  <c:v>468.55</c:v>
                </c:pt>
                <c:pt idx="2">
                  <c:v>468.55</c:v>
                </c:pt>
                <c:pt idx="3">
                  <c:v>468.55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714449"/>
        <c:axId val="1747851"/>
      </c:lineChart>
      <c:lineChart>
        <c:grouping val="stacked"/>
        <c:varyColors val="0"/>
        <c:ser>
          <c:idx val="3"/>
          <c:order val="3"/>
          <c:tx>
            <c:strRef>
              <c:f>"Current Share Price"</c:f>
              <c:strCache>
                <c:ptCount val="1"/>
                <c:pt idx="0">
                  <c:v>Current Share Price</c:v>
                </c:pt>
              </c:strCache>
            </c:strRef>
          </c:tx>
          <c:spPr>
            <a:solidFill>
              <a:srgbClr val="000000"/>
            </a:solidFill>
            <a:ln w="1512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cat>
            <c:strRef>
              <c:f>'Implied Valuation'!$A$25:$A$28</c:f>
              <c:strCache>
                <c:ptCount val="4"/>
                <c:pt idx="0">
                  <c:v>EV / Revenue</c:v>
                </c:pt>
                <c:pt idx="1">
                  <c:v>EV / EBITDA</c:v>
                </c:pt>
                <c:pt idx="2">
                  <c:v>EV / EBIT</c:v>
                </c:pt>
                <c:pt idx="3">
                  <c:v>P / E</c:v>
                </c:pt>
              </c:strCache>
            </c:strRef>
          </c:cat>
          <c:val>
            <c:numRef>
              <c:f>'Implied Valuation'!$H$25:$H$28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strRef>
              <c:f>"25th Percentile"</c:f>
              <c:strCache>
                <c:ptCount val="1"/>
                <c:pt idx="0">
                  <c:v>25th Percentile</c:v>
                </c:pt>
              </c:strCache>
            </c:strRef>
          </c:tx>
          <c:spPr>
            <a:solidFill>
              <a:srgbClr val="808080"/>
            </a:solidFill>
            <a:ln w="15120">
              <a:solidFill>
                <a:srgbClr val="808080"/>
              </a:solidFill>
              <a:prstDash val="sysDot"/>
              <a:round/>
            </a:ln>
          </c:spPr>
          <c:marker>
            <c:symbol val="none"/>
          </c:marker>
          <c:cat>
            <c:strRef>
              <c:f>'Implied Valuation'!$A$25:$A$28</c:f>
              <c:strCache>
                <c:ptCount val="4"/>
                <c:pt idx="0">
                  <c:v>EV / Revenue</c:v>
                </c:pt>
                <c:pt idx="1">
                  <c:v>EV / EBITDA</c:v>
                </c:pt>
                <c:pt idx="2">
                  <c:v>EV / EBIT</c:v>
                </c:pt>
                <c:pt idx="3">
                  <c:v>P / E</c:v>
                </c:pt>
              </c:strCache>
            </c:strRef>
          </c:cat>
          <c:val>
            <c:numRef>
              <c:f>'Implied Valuation'!$I$25:$I$28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strRef>
              <c:f>"75th Percentile"</c:f>
              <c:strCache>
                <c:ptCount val="1"/>
                <c:pt idx="0">
                  <c:v>75th Percentile</c:v>
                </c:pt>
              </c:strCache>
            </c:strRef>
          </c:tx>
          <c:spPr>
            <a:solidFill>
              <a:srgbClr val="808080"/>
            </a:solidFill>
            <a:ln w="15120">
              <a:solidFill>
                <a:srgbClr val="808080"/>
              </a:solidFill>
              <a:prstDash val="sysDot"/>
              <a:round/>
            </a:ln>
          </c:spPr>
          <c:marker>
            <c:symbol val="none"/>
          </c:marker>
          <c:cat>
            <c:strRef>
              <c:f>'Implied Valuation'!$A$25:$A$28</c:f>
              <c:strCache>
                <c:ptCount val="4"/>
                <c:pt idx="0">
                  <c:v>EV / Revenue</c:v>
                </c:pt>
                <c:pt idx="1">
                  <c:v>EV / EBITDA</c:v>
                </c:pt>
                <c:pt idx="2">
                  <c:v>EV / EBIT</c:v>
                </c:pt>
                <c:pt idx="3">
                  <c:v>P / E</c:v>
                </c:pt>
              </c:strCache>
            </c:strRef>
          </c:cat>
          <c:val>
            <c:numRef>
              <c:f>'Implied Valuation'!$J$25:$J$28</c:f>
              <c:numCache>
                <c:formatCode>General</c:formatCode>
                <c:ptCount val="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097881"/>
        <c:axId val="58063939"/>
      </c:lineChart>
      <c:catAx>
        <c:axId val="2971444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Implied Share Price (EUR)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7851"/>
        <c:crosses val="autoZero"/>
        <c:auto val="1"/>
        <c:lblAlgn val="ctr"/>
        <c:lblOffset val="100"/>
        <c:noMultiLvlLbl val="0"/>
      </c:catAx>
      <c:valAx>
        <c:axId val="1747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14449"/>
        <c:crosses val="autoZero"/>
        <c:crossBetween val="between"/>
      </c:valAx>
      <c:catAx>
        <c:axId val="10097881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63939"/>
        <c:crosses val="autoZero"/>
        <c:auto val="1"/>
        <c:lblAlgn val="ctr"/>
        <c:lblOffset val="100"/>
        <c:noMultiLvlLbl val="0"/>
      </c:catAx>
      <c:valAx>
        <c:axId val="58063939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978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Geographic Revenue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percentStacked"/>
        <c:varyColors val="0"/>
        <c:ser>
          <c:idx val="0"/>
          <c:order val="0"/>
          <c:tx>
            <c:strRef>
              <c:f>'Luxury Industry Dashboard'!B17</c:f>
              <c:strCache>
                <c:ptCount val="1"/>
                <c:pt idx="0">
                  <c:v>Europe %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'Luxury Industry Dashboard'!$A$18:$A$24</c:f>
              <c:strCache>
                <c:ptCount val="7"/>
                <c:pt idx="0">
                  <c:v>LVMH</c:v>
                </c:pt>
                <c:pt idx="1">
                  <c:v>Hermes</c:v>
                </c:pt>
                <c:pt idx="2">
                  <c:v>Kering</c:v>
                </c:pt>
                <c:pt idx="3">
                  <c:v>Richemont</c:v>
                </c:pt>
                <c:pt idx="4">
                  <c:v>Prada</c:v>
                </c:pt>
                <c:pt idx="5">
                  <c:v>Moncler</c:v>
                </c:pt>
                <c:pt idx="6">
                  <c:v>Brunello Cucinelli</c:v>
                </c:pt>
              </c:strCache>
            </c:strRef>
          </c:cat>
          <c:val>
            <c:numRef>
              <c:f>'Luxury Industry Dashboard'!$B$18:$B$24</c:f>
              <c:numCache>
                <c:formatCode>0.0%</c:formatCode>
                <c:ptCount val="7"/>
                <c:pt idx="0">
                  <c:v>0.35</c:v>
                </c:pt>
                <c:pt idx="1">
                  <c:v>0.25</c:v>
                </c:pt>
                <c:pt idx="2">
                  <c:v>0.22</c:v>
                </c:pt>
                <c:pt idx="3">
                  <c:v>0.23</c:v>
                </c:pt>
                <c:pt idx="4">
                  <c:v>0.2</c:v>
                </c:pt>
                <c:pt idx="5">
                  <c:v>0.35</c:v>
                </c:pt>
                <c:pt idx="6">
                  <c:v>0.35</c:v>
                </c:pt>
              </c:numCache>
            </c:numRef>
          </c:val>
        </c:ser>
        <c:ser>
          <c:idx val="1"/>
          <c:order val="1"/>
          <c:tx>
            <c:strRef>
              <c:f>'Luxury Industry Dashboard'!C17</c:f>
              <c:strCache>
                <c:ptCount val="1"/>
                <c:pt idx="0">
                  <c:v>Americas %</c:v>
                </c:pt>
              </c:strCache>
            </c:strRef>
          </c:tx>
          <c:spPr>
            <a:solidFill>
              <a:srgbClr val="2e539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'Luxury Industry Dashboard'!$A$18:$A$24</c:f>
              <c:strCache>
                <c:ptCount val="7"/>
                <c:pt idx="0">
                  <c:v>LVMH</c:v>
                </c:pt>
                <c:pt idx="1">
                  <c:v>Hermes</c:v>
                </c:pt>
                <c:pt idx="2">
                  <c:v>Kering</c:v>
                </c:pt>
                <c:pt idx="3">
                  <c:v>Richemont</c:v>
                </c:pt>
                <c:pt idx="4">
                  <c:v>Prada</c:v>
                </c:pt>
                <c:pt idx="5">
                  <c:v>Moncler</c:v>
                </c:pt>
                <c:pt idx="6">
                  <c:v>Brunello Cucinelli</c:v>
                </c:pt>
              </c:strCache>
            </c:strRef>
          </c:cat>
          <c:val>
            <c:numRef>
              <c:f>'Luxury Industry Dashboard'!$C$18:$C$24</c:f>
              <c:numCache>
                <c:formatCode>0.0%</c:formatCode>
                <c:ptCount val="7"/>
                <c:pt idx="0">
                  <c:v>0.25</c:v>
                </c:pt>
                <c:pt idx="1">
                  <c:v>0.18</c:v>
                </c:pt>
                <c:pt idx="2">
                  <c:v>0.22</c:v>
                </c:pt>
                <c:pt idx="3">
                  <c:v>0.19</c:v>
                </c:pt>
                <c:pt idx="4">
                  <c:v>0.15</c:v>
                </c:pt>
                <c:pt idx="5">
                  <c:v>0.15</c:v>
                </c:pt>
                <c:pt idx="6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'Luxury Industry Dashboard'!D17</c:f>
              <c:strCache>
                <c:ptCount val="1"/>
                <c:pt idx="0">
                  <c:v>Asia-Pacific %</c:v>
                </c:pt>
              </c:strCache>
            </c:strRef>
          </c:tx>
          <c:spPr>
            <a:solidFill>
              <a:srgbClr val="8faad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'Luxury Industry Dashboard'!$A$18:$A$24</c:f>
              <c:strCache>
                <c:ptCount val="7"/>
                <c:pt idx="0">
                  <c:v>LVMH</c:v>
                </c:pt>
                <c:pt idx="1">
                  <c:v>Hermes</c:v>
                </c:pt>
                <c:pt idx="2">
                  <c:v>Kering</c:v>
                </c:pt>
                <c:pt idx="3">
                  <c:v>Richemont</c:v>
                </c:pt>
                <c:pt idx="4">
                  <c:v>Prada</c:v>
                </c:pt>
                <c:pt idx="5">
                  <c:v>Moncler</c:v>
                </c:pt>
                <c:pt idx="6">
                  <c:v>Brunello Cucinelli</c:v>
                </c:pt>
              </c:strCache>
            </c:strRef>
          </c:cat>
          <c:val>
            <c:numRef>
              <c:f>'Luxury Industry Dashboard'!$D$18:$D$24</c:f>
              <c:numCache>
                <c:formatCode>0.0%</c:formatCode>
                <c:ptCount val="7"/>
                <c:pt idx="0">
                  <c:v>0.34</c:v>
                </c:pt>
                <c:pt idx="1">
                  <c:v>0.5</c:v>
                </c:pt>
                <c:pt idx="2">
                  <c:v>0.48</c:v>
                </c:pt>
                <c:pt idx="3">
                  <c:v>0.45</c:v>
                </c:pt>
                <c:pt idx="4">
                  <c:v>0.58</c:v>
                </c:pt>
                <c:pt idx="5">
                  <c:v>0.45</c:v>
                </c:pt>
                <c:pt idx="6">
                  <c:v>0.25</c:v>
                </c:pt>
              </c:numCache>
            </c:numRef>
          </c:val>
        </c:ser>
        <c:ser>
          <c:idx val="3"/>
          <c:order val="3"/>
          <c:tx>
            <c:strRef>
              <c:f>'Luxury Industry Dashboard'!E17</c:f>
              <c:strCache>
                <c:ptCount val="1"/>
                <c:pt idx="0">
                  <c:v>Other %</c:v>
                </c:pt>
              </c:strCache>
            </c:strRef>
          </c:tx>
          <c:spPr>
            <a:solidFill>
              <a:srgbClr val="d9e2f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'Luxury Industry Dashboard'!$A$18:$A$24</c:f>
              <c:strCache>
                <c:ptCount val="7"/>
                <c:pt idx="0">
                  <c:v>LVMH</c:v>
                </c:pt>
                <c:pt idx="1">
                  <c:v>Hermes</c:v>
                </c:pt>
                <c:pt idx="2">
                  <c:v>Kering</c:v>
                </c:pt>
                <c:pt idx="3">
                  <c:v>Richemont</c:v>
                </c:pt>
                <c:pt idx="4">
                  <c:v>Prada</c:v>
                </c:pt>
                <c:pt idx="5">
                  <c:v>Moncler</c:v>
                </c:pt>
                <c:pt idx="6">
                  <c:v>Brunello Cucinelli</c:v>
                </c:pt>
              </c:strCache>
            </c:strRef>
          </c:cat>
          <c:val>
            <c:numRef>
              <c:f>'Luxury Industry Dashboard'!$E$18:$E$24</c:f>
              <c:numCache>
                <c:formatCode>0.0%</c:formatCode>
                <c:ptCount val="7"/>
                <c:pt idx="0">
                  <c:v>0.06</c:v>
                </c:pt>
                <c:pt idx="1">
                  <c:v>0.07</c:v>
                </c:pt>
                <c:pt idx="2">
                  <c:v>0.08</c:v>
                </c:pt>
                <c:pt idx="3">
                  <c:v>0.13</c:v>
                </c:pt>
                <c:pt idx="4">
                  <c:v>0.07</c:v>
                </c:pt>
                <c:pt idx="5">
                  <c:v>0.05</c:v>
                </c:pt>
                <c:pt idx="6">
                  <c:v>0.05</c:v>
                </c:pt>
              </c:numCache>
            </c:numRef>
          </c:val>
        </c:ser>
        <c:gapWidth val="150"/>
        <c:overlap val="100"/>
        <c:axId val="69027244"/>
        <c:axId val="7717451"/>
      </c:barChart>
      <c:catAx>
        <c:axId val="690272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7451"/>
        <c:crosses val="autoZero"/>
        <c:auto val="1"/>
        <c:lblAlgn val="ctr"/>
        <c:lblOffset val="100"/>
        <c:noMultiLvlLbl val="0"/>
      </c:catAx>
      <c:valAx>
        <c:axId val="77174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272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Growth % (LTM YoY)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'Luxury Industry Dashboard'!B30</c:f>
              <c:strCache>
                <c:ptCount val="1"/>
                <c:pt idx="0">
                  <c:v>Revenue Growth %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'Luxury Industry Dashboard'!$A$31:$A$38</c:f>
              <c:strCache>
                <c:ptCount val="8"/>
                <c:pt idx="0">
                  <c:v>LVMH</c:v>
                </c:pt>
                <c:pt idx="1">
                  <c:v>Hermes</c:v>
                </c:pt>
                <c:pt idx="2">
                  <c:v>Kering</c:v>
                </c:pt>
                <c:pt idx="3">
                  <c:v>Richemont</c:v>
                </c:pt>
                <c:pt idx="4">
                  <c:v>Prada</c:v>
                </c:pt>
                <c:pt idx="5">
                  <c:v>Moncler</c:v>
                </c:pt>
                <c:pt idx="6">
                  <c:v>Brunello Cucinelli</c:v>
                </c:pt>
                <c:pt idx="7">
                  <c:v/>
                </c:pt>
              </c:strCache>
            </c:strRef>
          </c:cat>
          <c:val>
            <c:numRef>
              <c:f>'Luxury Industry Dashboard'!$B$31:$B$38</c:f>
              <c:numCache>
                <c:formatCode>0.0%</c:formatCode>
                <c:ptCount val="8"/>
                <c:pt idx="0">
                  <c:v>-0.045701464336325</c:v>
                </c:pt>
                <c:pt idx="1">
                  <c:v>0.0632827949901121</c:v>
                </c:pt>
                <c:pt idx="2">
                  <c:v>-0.129816241849437</c:v>
                </c:pt>
                <c:pt idx="3">
                  <c:v>0.0379695636786491</c:v>
                </c:pt>
                <c:pt idx="4">
                  <c:v>0.0574140408394552</c:v>
                </c:pt>
                <c:pt idx="5">
                  <c:v>0.0223642172523962</c:v>
                </c:pt>
                <c:pt idx="6">
                  <c:v>0.0992537313432836</c:v>
                </c:pt>
              </c:numCache>
            </c:numRef>
          </c:val>
        </c:ser>
        <c:gapWidth val="150"/>
        <c:overlap val="0"/>
        <c:axId val="89941255"/>
        <c:axId val="56376562"/>
      </c:barChart>
      <c:catAx>
        <c:axId val="899412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76562"/>
        <c:crosses val="autoZero"/>
        <c:auto val="1"/>
        <c:lblAlgn val="ctr"/>
        <c:lblOffset val="100"/>
        <c:noMultiLvlLbl val="0"/>
      </c:catAx>
      <c:valAx>
        <c:axId val="563765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412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(EBIT)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'Luxury Industry Dashboard'!C30</c:f>
              <c:strCache>
                <c:ptCount val="1"/>
                <c:pt idx="0">
                  <c:v>Operating Margin %</c:v>
                </c:pt>
              </c:strCache>
            </c:strRef>
          </c:tx>
          <c:spPr>
            <a:solidFill>
              <a:srgbClr val="2e539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'Luxury Industry Dashboard'!$A$31:$A$38</c:f>
              <c:strCache>
                <c:ptCount val="8"/>
                <c:pt idx="0">
                  <c:v>LVMH</c:v>
                </c:pt>
                <c:pt idx="1">
                  <c:v>Hermes</c:v>
                </c:pt>
                <c:pt idx="2">
                  <c:v>Kering</c:v>
                </c:pt>
                <c:pt idx="3">
                  <c:v>Richemont</c:v>
                </c:pt>
                <c:pt idx="4">
                  <c:v>Prada</c:v>
                </c:pt>
                <c:pt idx="5">
                  <c:v>Moncler</c:v>
                </c:pt>
                <c:pt idx="6">
                  <c:v>Brunello Cucinelli</c:v>
                </c:pt>
                <c:pt idx="7">
                  <c:v/>
                </c:pt>
              </c:strCache>
            </c:strRef>
          </c:cat>
          <c:val>
            <c:numRef>
              <c:f>'Luxury Industry Dashboard'!$C$31:$C$38</c:f>
              <c:numCache>
                <c:formatCode>0.0%</c:formatCode>
                <c:ptCount val="8"/>
                <c:pt idx="0">
                  <c:v>0.220022274470981</c:v>
                </c:pt>
                <c:pt idx="1">
                  <c:v>0.41847489150651</c:v>
                </c:pt>
                <c:pt idx="2">
                  <c:v>0.111035422343324</c:v>
                </c:pt>
                <c:pt idx="3">
                  <c:v>0.211690209449586</c:v>
                </c:pt>
                <c:pt idx="4">
                  <c:v>0.269856459330144</c:v>
                </c:pt>
                <c:pt idx="5">
                  <c:v>0.183125</c:v>
                </c:pt>
                <c:pt idx="6">
                  <c:v>0.150033944331297</c:v>
                </c:pt>
              </c:numCache>
            </c:numRef>
          </c:val>
        </c:ser>
        <c:gapWidth val="150"/>
        <c:overlap val="0"/>
        <c:axId val="76465767"/>
        <c:axId val="86426280"/>
      </c:barChart>
      <c:catAx>
        <c:axId val="764657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26280"/>
        <c:crosses val="autoZero"/>
        <c:auto val="1"/>
        <c:lblAlgn val="ctr"/>
        <c:lblOffset val="100"/>
        <c:noMultiLvlLbl val="0"/>
      </c:catAx>
      <c:valAx>
        <c:axId val="864262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657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 Capitalization (native ccy,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'Luxury Industry Dashboard'!D30</c:f>
              <c:strCache>
                <c:ptCount val="1"/>
                <c:pt idx="0">
                  <c:v>Market Cap (native ccy, m)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'Luxury Industry Dashboard'!$A$31:$A$38</c:f>
              <c:strCache>
                <c:ptCount val="8"/>
                <c:pt idx="0">
                  <c:v>LVMH</c:v>
                </c:pt>
                <c:pt idx="1">
                  <c:v>Hermes</c:v>
                </c:pt>
                <c:pt idx="2">
                  <c:v>Kering</c:v>
                </c:pt>
                <c:pt idx="3">
                  <c:v>Richemont</c:v>
                </c:pt>
                <c:pt idx="4">
                  <c:v>Prada</c:v>
                </c:pt>
                <c:pt idx="5">
                  <c:v>Moncler</c:v>
                </c:pt>
                <c:pt idx="6">
                  <c:v>Brunello Cucinelli</c:v>
                </c:pt>
                <c:pt idx="7">
                  <c:v/>
                </c:pt>
              </c:strCache>
            </c:strRef>
          </c:cat>
          <c:val>
            <c:numRef>
              <c:f>'Luxury Industry Dashboard'!$D$31:$D$38</c:f>
              <c:numCache>
                <c:formatCode>#,##0;\(#,##0\);\-</c:formatCode>
                <c:ptCount val="8"/>
                <c:pt idx="0">
                  <c:v>232583.5345</c:v>
                </c:pt>
                <c:pt idx="1">
                  <c:v>222701.4</c:v>
                </c:pt>
                <c:pt idx="2">
                  <c:v>35726.565</c:v>
                </c:pt>
                <c:pt idx="3">
                  <c:v>87307.4304</c:v>
                </c:pt>
                <c:pt idx="4">
                  <c:v>99174.4</c:v>
                </c:pt>
                <c:pt idx="5">
                  <c:v>12860.26</c:v>
                </c:pt>
                <c:pt idx="6">
                  <c:v>5848</c:v>
                </c:pt>
              </c:numCache>
            </c:numRef>
          </c:val>
        </c:ser>
        <c:gapWidth val="150"/>
        <c:overlap val="0"/>
        <c:axId val="47473851"/>
        <c:axId val="4297984"/>
      </c:barChart>
      <c:catAx>
        <c:axId val="474738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7984"/>
        <c:crosses val="autoZero"/>
        <c:auto val="1"/>
        <c:lblAlgn val="ctr"/>
        <c:lblOffset val="100"/>
        <c:noMultiLvlLbl val="0"/>
      </c:catAx>
      <c:valAx>
        <c:axId val="42979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738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78120</xdr:rowOff>
    </xdr:from>
    <xdr:to>
      <xdr:col>4</xdr:col>
      <xdr:colOff>286920</xdr:colOff>
      <xdr:row>57</xdr:row>
      <xdr:rowOff>74160</xdr:rowOff>
    </xdr:to>
    <xdr:graphicFrame>
      <xdr:nvGraphicFramePr>
        <xdr:cNvPr id="0" name="Chart 1"/>
        <xdr:cNvGraphicFramePr/>
      </xdr:nvGraphicFramePr>
      <xdr:xfrm>
        <a:off x="0" y="7965000"/>
        <a:ext cx="7194600" cy="32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16</xdr:col>
      <xdr:colOff>158040</xdr:colOff>
      <xdr:row>16</xdr:row>
      <xdr:rowOff>95400</xdr:rowOff>
    </xdr:to>
    <xdr:graphicFrame>
      <xdr:nvGraphicFramePr>
        <xdr:cNvPr id="1" name="Chart 1"/>
        <xdr:cNvGraphicFramePr/>
      </xdr:nvGraphicFramePr>
      <xdr:xfrm>
        <a:off x="8035200" y="380880"/>
        <a:ext cx="5754960" cy="286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156240</xdr:rowOff>
    </xdr:from>
    <xdr:to>
      <xdr:col>13</xdr:col>
      <xdr:colOff>192600</xdr:colOff>
      <xdr:row>32</xdr:row>
      <xdr:rowOff>16920</xdr:rowOff>
    </xdr:to>
    <xdr:graphicFrame>
      <xdr:nvGraphicFramePr>
        <xdr:cNvPr id="2" name="Chart 2"/>
        <xdr:cNvGraphicFramePr/>
      </xdr:nvGraphicFramePr>
      <xdr:xfrm>
        <a:off x="8035200" y="4366440"/>
        <a:ext cx="3954960" cy="250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34</xdr:row>
      <xdr:rowOff>140400</xdr:rowOff>
    </xdr:from>
    <xdr:to>
      <xdr:col>13</xdr:col>
      <xdr:colOff>192600</xdr:colOff>
      <xdr:row>47</xdr:row>
      <xdr:rowOff>45360</xdr:rowOff>
    </xdr:to>
    <xdr:graphicFrame>
      <xdr:nvGraphicFramePr>
        <xdr:cNvPr id="3" name="Chart 3"/>
        <xdr:cNvGraphicFramePr/>
      </xdr:nvGraphicFramePr>
      <xdr:xfrm>
        <a:off x="8035200" y="7379280"/>
        <a:ext cx="3954960" cy="316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49</xdr:row>
      <xdr:rowOff>140400</xdr:rowOff>
    </xdr:from>
    <xdr:to>
      <xdr:col>13</xdr:col>
      <xdr:colOff>192600</xdr:colOff>
      <xdr:row>62</xdr:row>
      <xdr:rowOff>178920</xdr:rowOff>
    </xdr:to>
    <xdr:graphicFrame>
      <xdr:nvGraphicFramePr>
        <xdr:cNvPr id="4" name="Chart 4"/>
        <xdr:cNvGraphicFramePr/>
      </xdr:nvGraphicFramePr>
      <xdr:xfrm>
        <a:off x="8035200" y="11017800"/>
        <a:ext cx="3954960" cy="251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"/>
    <col collapsed="false" customWidth="true" hidden="false" outlineLevel="0" max="3" min="3" style="1" width="110"/>
  </cols>
  <sheetData>
    <row r="2" customFormat="false" ht="1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6" customFormat="false" ht="15" hidden="false" customHeight="true" outlineLevel="0" collapsed="false">
      <c r="B6" s="2" t="s">
        <v>2</v>
      </c>
    </row>
    <row r="7" customFormat="false" ht="15" hidden="false" customHeight="true" outlineLevel="0" collapsed="false">
      <c r="B7" s="4" t="s">
        <v>3</v>
      </c>
      <c r="C7" s="3" t="s">
        <v>4</v>
      </c>
    </row>
    <row r="8" customFormat="false" ht="15" hidden="false" customHeight="true" outlineLevel="0" collapsed="false">
      <c r="B8" s="5" t="s">
        <v>5</v>
      </c>
      <c r="C8" s="3" t="s">
        <v>6</v>
      </c>
    </row>
    <row r="9" customFormat="false" ht="15" hidden="false" customHeight="true" outlineLevel="0" collapsed="false">
      <c r="B9" s="6" t="s">
        <v>7</v>
      </c>
      <c r="C9" s="3" t="s">
        <v>8</v>
      </c>
    </row>
    <row r="10" customFormat="false" ht="15" hidden="false" customHeight="true" outlineLevel="0" collapsed="false">
      <c r="B10" s="7" t="s">
        <v>9</v>
      </c>
      <c r="C10" s="3" t="s">
        <v>10</v>
      </c>
    </row>
    <row r="11" customFormat="false" ht="15" hidden="false" customHeight="true" outlineLevel="0" collapsed="false">
      <c r="B11" s="8" t="s">
        <v>11</v>
      </c>
      <c r="C11" s="3" t="s">
        <v>12</v>
      </c>
    </row>
    <row r="13" customFormat="false" ht="15" hidden="false" customHeight="true" outlineLevel="0" collapsed="false">
      <c r="B13" s="2" t="s">
        <v>13</v>
      </c>
    </row>
    <row r="14" customFormat="false" ht="75" hidden="false" customHeight="true" outlineLevel="0" collapsed="false">
      <c r="C14" s="9" t="s">
        <v>14</v>
      </c>
    </row>
    <row r="16" customFormat="false" ht="15" hidden="false" customHeight="true" outlineLevel="0" collapsed="false">
      <c r="B16" s="2" t="s">
        <v>15</v>
      </c>
    </row>
    <row r="17" customFormat="false" ht="42" hidden="false" customHeight="true" outlineLevel="0" collapsed="false">
      <c r="B17" s="10" t="s">
        <v>16</v>
      </c>
      <c r="C17" s="9" t="s">
        <v>17</v>
      </c>
    </row>
    <row r="18" customFormat="false" ht="23.25" hidden="false" customHeight="true" outlineLevel="0" collapsed="false">
      <c r="C18" s="9" t="s">
        <v>18</v>
      </c>
    </row>
    <row r="19" customFormat="false" ht="42" hidden="false" customHeight="true" outlineLevel="0" collapsed="false">
      <c r="C19" s="9" t="s">
        <v>19</v>
      </c>
    </row>
    <row r="20" customFormat="false" ht="23.25" hidden="false" customHeight="true" outlineLevel="0" collapsed="false"/>
    <row r="21" customFormat="false" ht="42" hidden="false" customHeight="true" outlineLevel="0" collapsed="false">
      <c r="B21" s="10" t="s">
        <v>20</v>
      </c>
      <c r="C21" s="9" t="s">
        <v>21</v>
      </c>
    </row>
    <row r="22" customFormat="false" ht="15" hidden="false" customHeight="true" outlineLevel="0" collapsed="false">
      <c r="C22" s="9" t="s">
        <v>22</v>
      </c>
    </row>
    <row r="23" customFormat="false" ht="42" hidden="false" customHeight="true" outlineLevel="0" collapsed="false">
      <c r="C23" s="9" t="s">
        <v>23</v>
      </c>
    </row>
    <row r="24" customFormat="false" ht="23.25" hidden="false" customHeight="true" outlineLevel="0" collapsed="false"/>
    <row r="25" customFormat="false" ht="42" hidden="false" customHeight="true" outlineLevel="0" collapsed="false">
      <c r="B25" s="10" t="s">
        <v>24</v>
      </c>
      <c r="C25" s="9" t="s">
        <v>25</v>
      </c>
    </row>
    <row r="26" customFormat="false" ht="23.25" hidden="false" customHeight="true" outlineLevel="0" collapsed="false">
      <c r="C26" s="9" t="s">
        <v>26</v>
      </c>
    </row>
    <row r="27" customFormat="false" ht="42" hidden="false" customHeight="true" outlineLevel="0" collapsed="false">
      <c r="C27" s="9" t="s">
        <v>27</v>
      </c>
    </row>
    <row r="29" customFormat="false" ht="15" hidden="false" customHeight="true" outlineLevel="0" collapsed="false">
      <c r="B29" s="10" t="s">
        <v>28</v>
      </c>
      <c r="C29" s="9" t="s">
        <v>29</v>
      </c>
    </row>
    <row r="30" customFormat="false" ht="49.5" hidden="false" customHeight="true" outlineLevel="0" collapsed="false">
      <c r="C30" s="9" t="s">
        <v>30</v>
      </c>
    </row>
    <row r="31" customFormat="false" ht="23.25" hidden="false" customHeight="true" outlineLevel="0" collapsed="false">
      <c r="C31" s="9" t="s">
        <v>31</v>
      </c>
    </row>
    <row r="32" customFormat="false" ht="15" hidden="false" customHeight="true" outlineLevel="0" collapsed="false"/>
    <row r="33" customFormat="false" ht="15" hidden="false" customHeight="true" outlineLevel="0" collapsed="false">
      <c r="B33" s="10" t="s">
        <v>32</v>
      </c>
      <c r="C33" s="9" t="s">
        <v>33</v>
      </c>
    </row>
    <row r="34" customFormat="false" ht="15" hidden="false" customHeight="true" outlineLevel="0" collapsed="false">
      <c r="C34" s="9" t="s">
        <v>34</v>
      </c>
    </row>
    <row r="35" customFormat="false" ht="15" hidden="false" customHeight="true" outlineLevel="0" collapsed="false">
      <c r="C35" s="9" t="s">
        <v>35</v>
      </c>
    </row>
    <row r="36" customFormat="false" ht="15" hidden="false" customHeight="true" outlineLevel="0" collapsed="false"/>
    <row r="37" customFormat="false" ht="15" hidden="false" customHeight="true" outlineLevel="0" collapsed="false">
      <c r="B37" s="10" t="s">
        <v>36</v>
      </c>
      <c r="C37" s="9" t="s">
        <v>37</v>
      </c>
    </row>
    <row r="38" customFormat="false" ht="15" hidden="false" customHeight="true" outlineLevel="0" collapsed="false">
      <c r="C38" s="9" t="s">
        <v>38</v>
      </c>
    </row>
    <row r="39" customFormat="false" ht="15" hidden="false" customHeight="true" outlineLevel="0" collapsed="false">
      <c r="C39" s="9" t="s">
        <v>39</v>
      </c>
    </row>
    <row r="40" customFormat="false" ht="15" hidden="false" customHeight="true" outlineLevel="0" collapsed="false"/>
    <row r="41" customFormat="false" ht="15" hidden="false" customHeight="true" outlineLevel="0" collapsed="false">
      <c r="B41" s="11" t="s">
        <v>40</v>
      </c>
    </row>
    <row r="42" customFormat="false" ht="15" hidden="false" customHeight="true" outlineLevel="0" collapsed="false">
      <c r="B42" s="12" t="s">
        <v>41</v>
      </c>
      <c r="C42" s="9" t="s">
        <v>42</v>
      </c>
    </row>
    <row r="43" customFormat="false" ht="15" hidden="false" customHeight="true" outlineLevel="0" collapsed="false">
      <c r="B43" s="12" t="s">
        <v>43</v>
      </c>
      <c r="C43" s="9" t="s">
        <v>44</v>
      </c>
    </row>
    <row r="44" customFormat="false" ht="15" hidden="false" customHeight="true" outlineLevel="0" collapsed="false">
      <c r="B44" s="12" t="s">
        <v>45</v>
      </c>
      <c r="C44" s="9" t="s">
        <v>46</v>
      </c>
    </row>
    <row r="45" customFormat="false" ht="15" hidden="false" customHeight="true" outlineLevel="0" collapsed="false">
      <c r="B45" s="12" t="s">
        <v>47</v>
      </c>
      <c r="C45" s="9" t="s">
        <v>48</v>
      </c>
    </row>
    <row r="46" customFormat="false" ht="15" hidden="false" customHeight="true" outlineLevel="0" collapsed="false"/>
    <row r="47" customFormat="false" ht="15" hidden="false" customHeight="true" outlineLevel="0" collapsed="false">
      <c r="B47" s="2" t="s">
        <v>49</v>
      </c>
    </row>
    <row r="48" customFormat="false" ht="54.75" hidden="false" customHeight="true" outlineLevel="0" collapsed="false">
      <c r="C48" s="9" t="s">
        <v>50</v>
      </c>
    </row>
    <row r="50" customFormat="false" ht="15" hidden="false" customHeight="true" outlineLevel="0" collapsed="false">
      <c r="B50" s="2" t="s">
        <v>51</v>
      </c>
    </row>
    <row r="51" customFormat="false" ht="15" hidden="false" customHeight="true" outlineLevel="0" collapsed="false"/>
    <row r="52" customFormat="false" ht="15" hidden="false" customHeight="true" outlineLevel="0" collapsed="false">
      <c r="B52" s="10" t="s">
        <v>52</v>
      </c>
      <c r="C52" s="5" t="s">
        <v>53</v>
      </c>
    </row>
    <row r="53" customFormat="false" ht="15" hidden="false" customHeight="true" outlineLevel="0" collapsed="false"/>
    <row r="54" customFormat="false" ht="15" hidden="false" customHeight="true" outlineLevel="0" collapsed="false">
      <c r="B54" s="10" t="s">
        <v>54</v>
      </c>
      <c r="C54" s="5" t="s">
        <v>55</v>
      </c>
    </row>
    <row r="55" customFormat="false" ht="15" hidden="false" customHeight="true" outlineLevel="0" collapsed="false"/>
    <row r="56" customFormat="false" ht="15" hidden="false" customHeight="true" outlineLevel="0" collapsed="false">
      <c r="B56" s="2" t="s">
        <v>56</v>
      </c>
    </row>
    <row r="57" customFormat="false" ht="15" hidden="false" customHeight="true" outlineLevel="0" collapsed="false">
      <c r="B57" s="5" t="s">
        <v>57</v>
      </c>
      <c r="C57" s="3" t="s">
        <v>58</v>
      </c>
    </row>
    <row r="58" customFormat="false" ht="15" hidden="false" customHeight="true" outlineLevel="0" collapsed="false">
      <c r="B58" s="5" t="s">
        <v>57</v>
      </c>
      <c r="C58" s="3" t="s">
        <v>59</v>
      </c>
    </row>
    <row r="59" customFormat="false" ht="15" hidden="false" customHeight="true" outlineLevel="0" collapsed="false">
      <c r="B59" s="5" t="s">
        <v>57</v>
      </c>
      <c r="C59" s="3" t="s">
        <v>60</v>
      </c>
    </row>
    <row r="60" customFormat="false" ht="45.75" hidden="false" customHeight="true" outlineLevel="0" collapsed="false">
      <c r="B60" s="5" t="s">
        <v>57</v>
      </c>
      <c r="C60" s="3" t="s">
        <v>61</v>
      </c>
    </row>
    <row r="61" customFormat="false" ht="15" hidden="false" customHeight="true" outlineLevel="0" collapsed="false">
      <c r="B61" s="5" t="s">
        <v>57</v>
      </c>
      <c r="C61" s="3" t="s">
        <v>62</v>
      </c>
    </row>
    <row r="62" customFormat="false" ht="15" hidden="false" customHeight="true" outlineLevel="0" collapsed="false">
      <c r="B62" s="5" t="s">
        <v>57</v>
      </c>
      <c r="C62" s="3" t="s">
        <v>63</v>
      </c>
    </row>
    <row r="63" customFormat="false" ht="15" hidden="false" customHeight="true" outlineLevel="0" collapsed="false">
      <c r="B63" s="5" t="s">
        <v>57</v>
      </c>
      <c r="C63" s="3" t="s">
        <v>64</v>
      </c>
    </row>
    <row r="65" customFormat="false" ht="15" hidden="false" customHeight="true" outlineLevel="0" collapsed="false">
      <c r="B65" s="2" t="s">
        <v>65</v>
      </c>
    </row>
    <row r="66" customFormat="false" ht="45.75" hidden="false" customHeight="true" outlineLevel="0" collapsed="false">
      <c r="C66" s="9" t="s">
        <v>66</v>
      </c>
    </row>
  </sheetData>
  <printOptions headings="false" gridLines="false" gridLinesSet="true" horizontalCentered="true" verticalCentered="false"/>
  <pageMargins left="0.4" right="0.4" top="0.5" bottom="0.5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LVMH Comparable Companies Analysis&amp;C&amp;8 Prepared by: Supraja Chinareddy  |  Strictly Private Confidential&amp;R&amp;8 Version 1.0  |  Aug 06, 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1" t="s">
        <v>67</v>
      </c>
    </row>
    <row r="3" customFormat="false" ht="15" hidden="false" customHeight="true" outlineLevel="0" collapsed="false">
      <c r="A3" s="13" t="s">
        <v>68</v>
      </c>
      <c r="B3" s="14"/>
      <c r="C3" s="14"/>
      <c r="D3" s="14"/>
      <c r="E3" s="14"/>
    </row>
    <row r="4" customFormat="false" ht="15" hidden="false" customHeight="true" outlineLevel="0" collapsed="false">
      <c r="A4" s="15" t="s">
        <v>69</v>
      </c>
      <c r="B4" s="16" t="s">
        <v>70</v>
      </c>
    </row>
    <row r="5" customFormat="false" ht="77.25" hidden="false" customHeight="true" outlineLevel="0" collapsed="false">
      <c r="A5" s="15" t="s">
        <v>71</v>
      </c>
      <c r="B5" s="16" t="s">
        <v>72</v>
      </c>
    </row>
    <row r="6" customFormat="false" ht="102.75" hidden="false" customHeight="true" outlineLevel="0" collapsed="false">
      <c r="A6" s="15" t="s">
        <v>73</v>
      </c>
      <c r="B6" s="16" t="s">
        <v>74</v>
      </c>
    </row>
    <row r="8" customFormat="false" ht="15" hidden="false" customHeight="true" outlineLevel="0" collapsed="false">
      <c r="A8" s="13" t="s">
        <v>75</v>
      </c>
      <c r="B8" s="14"/>
      <c r="C8" s="14"/>
      <c r="D8" s="14"/>
      <c r="E8" s="14"/>
    </row>
    <row r="9" customFormat="false" ht="15" hidden="false" customHeight="true" outlineLevel="0" collapsed="false">
      <c r="A9" s="17" t="s">
        <v>76</v>
      </c>
      <c r="B9" s="18" t="s">
        <v>77</v>
      </c>
      <c r="C9" s="18" t="s">
        <v>78</v>
      </c>
      <c r="D9" s="18" t="s">
        <v>79</v>
      </c>
      <c r="E9" s="19" t="s">
        <v>80</v>
      </c>
    </row>
    <row r="10" customFormat="false" ht="15" hidden="false" customHeight="true" outlineLevel="0" collapsed="false">
      <c r="A10" s="20" t="s">
        <v>81</v>
      </c>
      <c r="B10" s="21" t="s">
        <v>82</v>
      </c>
      <c r="C10" s="21" t="s">
        <v>83</v>
      </c>
      <c r="D10" s="22" t="n">
        <v>468.55</v>
      </c>
      <c r="E10" s="23" t="s">
        <v>84</v>
      </c>
    </row>
    <row r="11" customFormat="false" ht="15" hidden="false" customHeight="true" outlineLevel="0" collapsed="false">
      <c r="A11" s="20" t="s">
        <v>85</v>
      </c>
      <c r="B11" s="21" t="s">
        <v>86</v>
      </c>
      <c r="C11" s="21" t="s">
        <v>83</v>
      </c>
      <c r="D11" s="22" t="n">
        <v>2124</v>
      </c>
      <c r="E11" s="23" t="s">
        <v>84</v>
      </c>
    </row>
    <row r="12" customFormat="false" ht="15" hidden="false" customHeight="true" outlineLevel="0" collapsed="false">
      <c r="A12" s="20" t="s">
        <v>87</v>
      </c>
      <c r="B12" s="21" t="s">
        <v>88</v>
      </c>
      <c r="C12" s="21" t="s">
        <v>83</v>
      </c>
      <c r="D12" s="22" t="n">
        <v>288.35</v>
      </c>
      <c r="E12" s="23" t="s">
        <v>89</v>
      </c>
    </row>
    <row r="13" customFormat="false" ht="15" hidden="false" customHeight="true" outlineLevel="0" collapsed="false">
      <c r="A13" s="20" t="s">
        <v>90</v>
      </c>
      <c r="B13" s="21" t="s">
        <v>91</v>
      </c>
      <c r="C13" s="21" t="s">
        <v>92</v>
      </c>
      <c r="D13" s="22" t="n">
        <v>148.24</v>
      </c>
      <c r="E13" s="23" t="s">
        <v>93</v>
      </c>
    </row>
    <row r="14" customFormat="false" ht="15" hidden="false" customHeight="true" outlineLevel="0" collapsed="false">
      <c r="A14" s="20" t="s">
        <v>94</v>
      </c>
      <c r="B14" s="21" t="s">
        <v>95</v>
      </c>
      <c r="C14" s="21" t="s">
        <v>96</v>
      </c>
      <c r="D14" s="22" t="n">
        <v>38.74</v>
      </c>
      <c r="E14" s="23" t="s">
        <v>97</v>
      </c>
    </row>
    <row r="15" customFormat="false" ht="15" hidden="false" customHeight="true" outlineLevel="0" collapsed="false">
      <c r="A15" s="24" t="s">
        <v>98</v>
      </c>
      <c r="B15" s="25" t="s">
        <v>99</v>
      </c>
      <c r="C15" s="25" t="s">
        <v>83</v>
      </c>
      <c r="D15" s="26" t="n">
        <v>47.35</v>
      </c>
      <c r="E15" s="27" t="s">
        <v>100</v>
      </c>
    </row>
    <row r="16" customFormat="false" ht="15" hidden="false" customHeight="true" outlineLevel="0" collapsed="false">
      <c r="A16" s="15" t="s">
        <v>101</v>
      </c>
      <c r="B16" s="15" t="s">
        <v>102</v>
      </c>
      <c r="C16" s="15" t="s">
        <v>83</v>
      </c>
      <c r="D16" s="28" t="n">
        <v>86</v>
      </c>
      <c r="E16" s="15" t="s">
        <v>97</v>
      </c>
    </row>
    <row r="18" customFormat="false" ht="15" hidden="false" customHeight="true" outlineLevel="0" collapsed="false">
      <c r="A18" s="13" t="s">
        <v>103</v>
      </c>
      <c r="B18" s="14"/>
      <c r="C18" s="14"/>
      <c r="D18" s="14"/>
      <c r="E18" s="14"/>
    </row>
    <row r="19" customFormat="false" ht="15" hidden="false" customHeight="true" outlineLevel="0" collapsed="false">
      <c r="A19" s="15" t="s">
        <v>81</v>
      </c>
      <c r="B19" s="15" t="s">
        <v>104</v>
      </c>
    </row>
    <row r="20" customFormat="false" ht="15" hidden="false" customHeight="true" outlineLevel="0" collapsed="false">
      <c r="A20" s="15" t="s">
        <v>85</v>
      </c>
      <c r="B20" s="15" t="s">
        <v>104</v>
      </c>
    </row>
    <row r="21" customFormat="false" ht="15" hidden="false" customHeight="true" outlineLevel="0" collapsed="false">
      <c r="A21" s="15" t="s">
        <v>87</v>
      </c>
      <c r="B21" s="15" t="s">
        <v>104</v>
      </c>
    </row>
    <row r="22" customFormat="false" ht="15" hidden="false" customHeight="true" outlineLevel="0" collapsed="false">
      <c r="A22" s="15" t="s">
        <v>90</v>
      </c>
      <c r="B22" s="15" t="s">
        <v>105</v>
      </c>
    </row>
    <row r="23" customFormat="false" ht="15" hidden="false" customHeight="true" outlineLevel="0" collapsed="false">
      <c r="A23" s="15" t="s">
        <v>94</v>
      </c>
      <c r="B23" s="15" t="s">
        <v>106</v>
      </c>
    </row>
    <row r="24" customFormat="false" ht="15" hidden="false" customHeight="true" outlineLevel="0" collapsed="false">
      <c r="A24" s="15" t="s">
        <v>98</v>
      </c>
      <c r="B24" s="15" t="s">
        <v>104</v>
      </c>
    </row>
    <row r="25" customFormat="false" ht="15" hidden="false" customHeight="true" outlineLevel="0" collapsed="false">
      <c r="A25" s="15" t="s">
        <v>101</v>
      </c>
      <c r="B25" s="15" t="s">
        <v>104</v>
      </c>
    </row>
    <row r="27" customFormat="false" ht="15" hidden="false" customHeight="true" outlineLevel="0" collapsed="false">
      <c r="A27" s="13" t="s">
        <v>107</v>
      </c>
      <c r="B27" s="14"/>
      <c r="C27" s="14"/>
      <c r="D27" s="14"/>
      <c r="E27" s="14"/>
    </row>
    <row r="28" customFormat="false" ht="26.25" hidden="false" customHeight="true" outlineLevel="0" collapsed="false">
      <c r="A28" s="29" t="s">
        <v>108</v>
      </c>
      <c r="B28" s="29"/>
      <c r="C28" s="29"/>
      <c r="D28" s="29"/>
      <c r="E28" s="29"/>
    </row>
    <row r="29" customFormat="false" ht="15" hidden="false" customHeight="true" outlineLevel="0" collapsed="false">
      <c r="A29" s="29" t="s">
        <v>109</v>
      </c>
      <c r="B29" s="29"/>
      <c r="C29" s="29"/>
      <c r="D29" s="29"/>
      <c r="E29" s="29"/>
    </row>
    <row r="30" customFormat="false" ht="15" hidden="false" customHeight="true" outlineLevel="0" collapsed="false">
      <c r="A30" s="29" t="s">
        <v>110</v>
      </c>
      <c r="B30" s="29"/>
      <c r="C30" s="29"/>
      <c r="D30" s="29"/>
      <c r="E30" s="29"/>
    </row>
    <row r="31" customFormat="false" ht="26.25" hidden="false" customHeight="true" outlineLevel="0" collapsed="false">
      <c r="A31" s="29" t="s">
        <v>111</v>
      </c>
      <c r="B31" s="29"/>
      <c r="C31" s="29"/>
      <c r="D31" s="29"/>
      <c r="E31" s="29"/>
    </row>
    <row r="32" customFormat="false" ht="26.25" hidden="false" customHeight="true" outlineLevel="0" collapsed="false">
      <c r="A32" s="29" t="s">
        <v>112</v>
      </c>
      <c r="B32" s="29"/>
      <c r="C32" s="29"/>
      <c r="D32" s="29"/>
      <c r="E32" s="29"/>
    </row>
  </sheetData>
  <mergeCells count="5">
    <mergeCell ref="A28:E28"/>
    <mergeCell ref="A29:E29"/>
    <mergeCell ref="A30:E30"/>
    <mergeCell ref="A31:E31"/>
    <mergeCell ref="A32:E32"/>
  </mergeCells>
  <printOptions headings="false" gridLines="false" gridLinesSet="true" horizontalCentered="true" verticalCentered="false"/>
  <pageMargins left="0.4" right="0.4" top="0.5" bottom="0.5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LVMH Comparable Companies Analysis&amp;C&amp;8 Prepared by: Supraja Chinareddy  |  Strictly Private Confidential&amp;R&amp;8 Version 1.0  |  Aug 06, 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0"/>
    <col collapsed="false" customWidth="true" hidden="false" outlineLevel="0" max="3" min="3" style="1" width="30"/>
    <col collapsed="false" customWidth="true" hidden="false" outlineLevel="0" max="4" min="4" style="1" width="45"/>
    <col collapsed="false" customWidth="true" hidden="false" outlineLevel="0" max="5" min="5" style="1" width="22"/>
  </cols>
  <sheetData>
    <row r="1" customFormat="false" ht="15" hidden="false" customHeight="true" outlineLevel="0" collapsed="false">
      <c r="A1" s="11" t="s">
        <v>67</v>
      </c>
    </row>
    <row r="2" customFormat="false" ht="15" hidden="false" customHeight="true" outlineLevel="0" collapsed="false">
      <c r="A2" s="13" t="s">
        <v>113</v>
      </c>
      <c r="B2" s="14"/>
      <c r="C2" s="14"/>
      <c r="D2" s="14"/>
      <c r="E2" s="14"/>
    </row>
    <row r="4" customFormat="false" ht="15" hidden="false" customHeight="true" outlineLevel="0" collapsed="false">
      <c r="A4" s="17" t="s">
        <v>76</v>
      </c>
      <c r="B4" s="18" t="s">
        <v>114</v>
      </c>
      <c r="C4" s="18" t="s">
        <v>115</v>
      </c>
      <c r="D4" s="18" t="s">
        <v>116</v>
      </c>
      <c r="E4" s="19" t="s">
        <v>117</v>
      </c>
    </row>
    <row r="5" customFormat="false" ht="39" hidden="false" customHeight="true" outlineLevel="0" collapsed="false">
      <c r="A5" s="30" t="s">
        <v>118</v>
      </c>
      <c r="B5" s="31" t="s">
        <v>119</v>
      </c>
      <c r="C5" s="31" t="s">
        <v>120</v>
      </c>
      <c r="D5" s="31" t="s">
        <v>121</v>
      </c>
      <c r="E5" s="32" t="s">
        <v>122</v>
      </c>
    </row>
    <row r="6" customFormat="false" ht="26.25" hidden="false" customHeight="true" outlineLevel="0" collapsed="false">
      <c r="A6" s="30" t="s">
        <v>16</v>
      </c>
      <c r="B6" s="31" t="s">
        <v>123</v>
      </c>
      <c r="C6" s="31" t="s">
        <v>124</v>
      </c>
      <c r="D6" s="31" t="s">
        <v>125</v>
      </c>
      <c r="E6" s="32" t="s">
        <v>126</v>
      </c>
    </row>
    <row r="7" customFormat="false" ht="26.25" hidden="false" customHeight="true" outlineLevel="0" collapsed="false">
      <c r="A7" s="30" t="s">
        <v>20</v>
      </c>
      <c r="B7" s="31" t="s">
        <v>123</v>
      </c>
      <c r="C7" s="31" t="s">
        <v>124</v>
      </c>
      <c r="D7" s="31" t="s">
        <v>125</v>
      </c>
      <c r="E7" s="32" t="s">
        <v>127</v>
      </c>
    </row>
    <row r="8" customFormat="false" ht="26.25" hidden="false" customHeight="true" outlineLevel="0" collapsed="false">
      <c r="A8" s="30" t="s">
        <v>24</v>
      </c>
      <c r="B8" s="31" t="s">
        <v>123</v>
      </c>
      <c r="C8" s="31" t="s">
        <v>124</v>
      </c>
      <c r="D8" s="31" t="s">
        <v>125</v>
      </c>
      <c r="E8" s="32" t="s">
        <v>128</v>
      </c>
    </row>
    <row r="9" customFormat="false" ht="26.25" hidden="false" customHeight="true" outlineLevel="0" collapsed="false">
      <c r="A9" s="30" t="s">
        <v>28</v>
      </c>
      <c r="B9" s="31" t="s">
        <v>123</v>
      </c>
      <c r="C9" s="31" t="s">
        <v>124</v>
      </c>
      <c r="D9" s="31" t="s">
        <v>129</v>
      </c>
      <c r="E9" s="32" t="s">
        <v>130</v>
      </c>
    </row>
    <row r="10" customFormat="false" ht="26.25" hidden="false" customHeight="true" outlineLevel="0" collapsed="false">
      <c r="A10" s="30" t="s">
        <v>32</v>
      </c>
      <c r="B10" s="31" t="s">
        <v>123</v>
      </c>
      <c r="C10" s="31" t="s">
        <v>124</v>
      </c>
      <c r="D10" s="31" t="s">
        <v>125</v>
      </c>
      <c r="E10" s="32" t="s">
        <v>131</v>
      </c>
    </row>
    <row r="11" customFormat="false" ht="26.25" hidden="false" customHeight="true" outlineLevel="0" collapsed="false">
      <c r="A11" s="33" t="s">
        <v>36</v>
      </c>
      <c r="B11" s="34" t="s">
        <v>123</v>
      </c>
      <c r="C11" s="34" t="s">
        <v>124</v>
      </c>
      <c r="D11" s="34" t="s">
        <v>125</v>
      </c>
      <c r="E11" s="35" t="s">
        <v>97</v>
      </c>
    </row>
    <row r="13" customFormat="false" ht="15" hidden="false" customHeight="true" outlineLevel="0" collapsed="false">
      <c r="A13" s="13" t="s">
        <v>132</v>
      </c>
      <c r="B13" s="14"/>
      <c r="C13" s="14"/>
      <c r="D13" s="14"/>
      <c r="E13" s="14"/>
    </row>
    <row r="14" customFormat="false" ht="26.25" hidden="false" customHeight="true" outlineLevel="0" collapsed="false">
      <c r="A14" s="15" t="s">
        <v>133</v>
      </c>
      <c r="B14" s="36" t="s">
        <v>134</v>
      </c>
    </row>
    <row r="15" customFormat="false" ht="39" hidden="false" customHeight="true" outlineLevel="0" collapsed="false">
      <c r="A15" s="15" t="s">
        <v>135</v>
      </c>
      <c r="B15" s="36" t="s">
        <v>136</v>
      </c>
    </row>
    <row r="16" customFormat="false" ht="26.25" hidden="false" customHeight="true" outlineLevel="0" collapsed="false">
      <c r="A16" s="15" t="s">
        <v>137</v>
      </c>
      <c r="B16" s="36" t="s">
        <v>138</v>
      </c>
    </row>
    <row r="17" customFormat="false" ht="26.25" hidden="false" customHeight="true" outlineLevel="0" collapsed="false">
      <c r="A17" s="15" t="s">
        <v>139</v>
      </c>
      <c r="B17" s="36" t="s">
        <v>140</v>
      </c>
    </row>
    <row r="19" customFormat="false" ht="15" hidden="false" customHeight="true" outlineLevel="0" collapsed="false">
      <c r="A19" s="13" t="s">
        <v>65</v>
      </c>
      <c r="B19" s="14"/>
      <c r="C19" s="14"/>
      <c r="D19" s="14"/>
      <c r="E19" s="14"/>
    </row>
    <row r="20" customFormat="false" ht="90" hidden="false" customHeight="true" outlineLevel="0" collapsed="false">
      <c r="A20" s="36" t="s">
        <v>141</v>
      </c>
    </row>
  </sheetData>
  <printOptions headings="false" gridLines="false" gridLinesSet="true" horizontalCentered="true" verticalCentered="false"/>
  <pageMargins left="0.4" right="0.4" top="0.5" bottom="0.5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LVMH Comparable Companies Analysis&amp;C&amp;8 Prepared by: Supraja Chinareddy  |  Strictly Private Confidential&amp;R&amp;8 Version 1.0  |  Aug 06, 2026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"/>
    <col collapsed="false" customWidth="true" hidden="false" outlineLevel="0" max="3" min="3" style="1" width="6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16"/>
    <col collapsed="false" customWidth="true" hidden="false" outlineLevel="0" max="15" min="15" style="1" width="13"/>
    <col collapsed="false" customWidth="true" hidden="false" outlineLevel="0" max="16" min="16" style="1" width="9"/>
  </cols>
  <sheetData>
    <row r="1" customFormat="false" ht="15" hidden="false" customHeight="true" outlineLevel="0" collapsed="false">
      <c r="A1" s="2" t="s">
        <v>67</v>
      </c>
    </row>
    <row r="3" customFormat="false" ht="15" hidden="false" customHeight="true" outlineLevel="0" collapsed="false">
      <c r="A3" s="13" t="s">
        <v>142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5" customFormat="false" ht="23.25" hidden="false" customHeight="true" outlineLevel="0" collapsed="false">
      <c r="A5" s="38" t="s">
        <v>76</v>
      </c>
      <c r="B5" s="39" t="s">
        <v>77</v>
      </c>
      <c r="C5" s="39" t="s">
        <v>143</v>
      </c>
      <c r="D5" s="39" t="s">
        <v>79</v>
      </c>
      <c r="E5" s="39" t="s">
        <v>144</v>
      </c>
      <c r="F5" s="39" t="s">
        <v>145</v>
      </c>
      <c r="G5" s="39" t="s">
        <v>146</v>
      </c>
      <c r="H5" s="39" t="s">
        <v>147</v>
      </c>
      <c r="I5" s="39" t="s">
        <v>148</v>
      </c>
      <c r="J5" s="39" t="s">
        <v>149</v>
      </c>
      <c r="K5" s="39" t="s">
        <v>150</v>
      </c>
      <c r="L5" s="39" t="s">
        <v>151</v>
      </c>
      <c r="M5" s="39" t="s">
        <v>152</v>
      </c>
      <c r="N5" s="39" t="s">
        <v>153</v>
      </c>
      <c r="O5" s="39" t="s">
        <v>154</v>
      </c>
      <c r="P5" s="40" t="s">
        <v>155</v>
      </c>
    </row>
    <row r="6" customFormat="false" ht="15" hidden="false" customHeight="true" outlineLevel="0" collapsed="false">
      <c r="A6" s="41" t="s">
        <v>85</v>
      </c>
      <c r="B6" s="42" t="s">
        <v>86</v>
      </c>
      <c r="C6" s="42" t="s">
        <v>83</v>
      </c>
      <c r="D6" s="43" t="n">
        <v>2124</v>
      </c>
      <c r="E6" s="44" t="n">
        <v>104.85</v>
      </c>
      <c r="F6" s="44" t="n">
        <v>-10030</v>
      </c>
      <c r="G6" s="44" t="n">
        <v>16130</v>
      </c>
      <c r="H6" s="44" t="n">
        <v>7230</v>
      </c>
      <c r="I6" s="44" t="n">
        <v>6750</v>
      </c>
      <c r="J6" s="44" t="n">
        <v>4520</v>
      </c>
      <c r="K6" s="43" t="n">
        <v>43</v>
      </c>
      <c r="L6" s="42" t="s">
        <v>84</v>
      </c>
      <c r="M6" s="44" t="n">
        <v>15170</v>
      </c>
      <c r="N6" s="44" t="n">
        <v>17760</v>
      </c>
      <c r="O6" s="44" t="n">
        <v>17420</v>
      </c>
      <c r="P6" s="45" t="n">
        <v>46.44</v>
      </c>
    </row>
    <row r="7" customFormat="false" ht="15" hidden="false" customHeight="true" outlineLevel="0" collapsed="false">
      <c r="A7" s="41" t="s">
        <v>87</v>
      </c>
      <c r="B7" s="42" t="s">
        <v>88</v>
      </c>
      <c r="C7" s="42" t="s">
        <v>83</v>
      </c>
      <c r="D7" s="43" t="n">
        <v>288.35</v>
      </c>
      <c r="E7" s="44" t="n">
        <v>123.9</v>
      </c>
      <c r="F7" s="44" t="n">
        <v>14250</v>
      </c>
      <c r="G7" s="44" t="n">
        <v>14680</v>
      </c>
      <c r="H7" s="44" t="n">
        <v>2940</v>
      </c>
      <c r="I7" s="44" t="n">
        <v>1630</v>
      </c>
      <c r="J7" s="44" t="n">
        <v>72</v>
      </c>
      <c r="K7" s="43" t="n">
        <v>0.59</v>
      </c>
      <c r="L7" s="42" t="s">
        <v>89</v>
      </c>
      <c r="M7" s="44" t="n">
        <v>16870</v>
      </c>
      <c r="N7" s="44" t="n">
        <v>28800</v>
      </c>
      <c r="O7" s="44" t="n">
        <v>15200</v>
      </c>
      <c r="P7" s="45" t="n">
        <v>5.48</v>
      </c>
    </row>
    <row r="8" customFormat="false" ht="15" hidden="false" customHeight="true" outlineLevel="0" collapsed="false">
      <c r="A8" s="41" t="s">
        <v>90</v>
      </c>
      <c r="B8" s="42" t="s">
        <v>91</v>
      </c>
      <c r="C8" s="42" t="s">
        <v>92</v>
      </c>
      <c r="D8" s="43" t="n">
        <v>148.24</v>
      </c>
      <c r="E8" s="44" t="n">
        <v>588.96</v>
      </c>
      <c r="F8" s="44" t="n">
        <v>-1740</v>
      </c>
      <c r="G8" s="44" t="n">
        <v>20530</v>
      </c>
      <c r="H8" s="44" t="n">
        <v>5535</v>
      </c>
      <c r="I8" s="44" t="n">
        <v>4346</v>
      </c>
      <c r="J8" s="44" t="n">
        <v>3840</v>
      </c>
      <c r="K8" s="43" t="n">
        <v>6.52</v>
      </c>
      <c r="L8" s="42" t="s">
        <v>93</v>
      </c>
      <c r="M8" s="44" t="n">
        <v>19779</v>
      </c>
      <c r="N8" s="44" t="n">
        <v>21180</v>
      </c>
      <c r="O8" s="44" t="n">
        <v>21760</v>
      </c>
      <c r="P8" s="45" t="n">
        <v>6.91</v>
      </c>
    </row>
    <row r="9" customFormat="false" ht="15" hidden="false" customHeight="true" outlineLevel="0" collapsed="false">
      <c r="A9" s="41" t="s">
        <v>94</v>
      </c>
      <c r="B9" s="42" t="s">
        <v>95</v>
      </c>
      <c r="C9" s="42" t="s">
        <v>96</v>
      </c>
      <c r="D9" s="43" t="n">
        <v>38.74</v>
      </c>
      <c r="E9" s="44" t="n">
        <v>2560</v>
      </c>
      <c r="F9" s="44" t="n">
        <v>32670</v>
      </c>
      <c r="G9" s="44" t="n">
        <v>52250</v>
      </c>
      <c r="H9" s="44" t="n">
        <v>18890</v>
      </c>
      <c r="I9" s="44" t="n">
        <v>14100</v>
      </c>
      <c r="J9" s="44" t="n">
        <v>7790</v>
      </c>
      <c r="K9" s="43" t="n">
        <v>3.04</v>
      </c>
      <c r="L9" s="42" t="s">
        <v>97</v>
      </c>
      <c r="M9" s="44" t="n">
        <v>49413</v>
      </c>
      <c r="N9" s="44" t="n">
        <v>41086</v>
      </c>
      <c r="O9" s="44" t="n">
        <v>56430</v>
      </c>
      <c r="P9" s="45" t="n">
        <v>2.92</v>
      </c>
    </row>
    <row r="10" customFormat="false" ht="15" hidden="false" customHeight="true" outlineLevel="0" collapsed="false">
      <c r="A10" s="41" t="s">
        <v>98</v>
      </c>
      <c r="B10" s="42" t="s">
        <v>99</v>
      </c>
      <c r="C10" s="42" t="s">
        <v>83</v>
      </c>
      <c r="D10" s="43" t="n">
        <v>47.35</v>
      </c>
      <c r="E10" s="44" t="n">
        <v>271.6</v>
      </c>
      <c r="F10" s="44" t="n">
        <v>-348.9</v>
      </c>
      <c r="G10" s="44" t="n">
        <v>3200</v>
      </c>
      <c r="H10" s="44" t="n">
        <v>930</v>
      </c>
      <c r="I10" s="44" t="n">
        <v>586</v>
      </c>
      <c r="J10" s="44" t="n">
        <v>637.9</v>
      </c>
      <c r="K10" s="43" t="n">
        <v>2.35</v>
      </c>
      <c r="L10" s="42" t="s">
        <v>100</v>
      </c>
      <c r="M10" s="44" t="n">
        <v>3130</v>
      </c>
      <c r="N10" s="44" t="n">
        <v>3785</v>
      </c>
      <c r="O10" s="44" t="n">
        <v>3328</v>
      </c>
      <c r="P10" s="45" t="n">
        <v>2.03</v>
      </c>
    </row>
    <row r="11" customFormat="false" ht="15" hidden="false" customHeight="true" outlineLevel="0" collapsed="false">
      <c r="A11" s="41" t="s">
        <v>101</v>
      </c>
      <c r="B11" s="42" t="s">
        <v>102</v>
      </c>
      <c r="C11" s="42" t="s">
        <v>83</v>
      </c>
      <c r="D11" s="43" t="n">
        <v>86</v>
      </c>
      <c r="E11" s="44" t="n">
        <v>68</v>
      </c>
      <c r="F11" s="44" t="n">
        <v>890</v>
      </c>
      <c r="G11" s="44" t="n">
        <v>1473</v>
      </c>
      <c r="H11" s="44" t="n">
        <v>349</v>
      </c>
      <c r="I11" s="44" t="n">
        <v>221</v>
      </c>
      <c r="J11" s="44" t="n">
        <v>137.9</v>
      </c>
      <c r="K11" s="43" t="n">
        <v>2.03</v>
      </c>
      <c r="L11" s="42" t="s">
        <v>97</v>
      </c>
      <c r="M11" s="44" t="n">
        <v>1340</v>
      </c>
      <c r="N11" s="44" t="n">
        <v>473.6</v>
      </c>
      <c r="O11" s="44" t="n">
        <v>1620</v>
      </c>
      <c r="P11" s="45" t="n">
        <v>1.91</v>
      </c>
    </row>
    <row r="12" customFormat="false" ht="15" hidden="false" customHeight="true" outlineLevel="0" collapsed="false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8"/>
    </row>
    <row r="13" customFormat="false" ht="15" hidden="false" customHeight="true" outlineLevel="0" collapsed="false">
      <c r="A13" s="49" t="s">
        <v>156</v>
      </c>
      <c r="B13" s="50" t="s">
        <v>82</v>
      </c>
      <c r="C13" s="50" t="s">
        <v>83</v>
      </c>
      <c r="D13" s="51" t="n">
        <v>468.55</v>
      </c>
      <c r="E13" s="52" t="n">
        <v>496.39</v>
      </c>
      <c r="F13" s="52" t="n">
        <v>24740</v>
      </c>
      <c r="G13" s="52" t="n">
        <v>80810</v>
      </c>
      <c r="H13" s="52" t="n">
        <v>23830</v>
      </c>
      <c r="I13" s="52" t="n">
        <v>17780</v>
      </c>
      <c r="J13" s="52" t="n">
        <v>10880</v>
      </c>
      <c r="K13" s="51" t="n">
        <v>21.92</v>
      </c>
      <c r="L13" s="50" t="s">
        <v>84</v>
      </c>
      <c r="M13" s="52" t="n">
        <v>84680</v>
      </c>
      <c r="N13" s="52" t="n">
        <v>67000</v>
      </c>
      <c r="O13" s="52" t="n">
        <v>83640</v>
      </c>
      <c r="P13" s="53" t="n">
        <v>23.37</v>
      </c>
    </row>
    <row r="16" customFormat="false" ht="15" hidden="false" customHeight="true" outlineLevel="0" collapsed="false">
      <c r="A16" s="13" t="s">
        <v>157</v>
      </c>
      <c r="B16" s="37"/>
      <c r="C16" s="37"/>
      <c r="D16" s="37"/>
      <c r="E16" s="37"/>
      <c r="F16" s="37"/>
      <c r="G16" s="37"/>
    </row>
    <row r="18" customFormat="false" ht="45.75" hidden="false" customHeight="true" outlineLevel="0" collapsed="false">
      <c r="A18" s="38" t="s">
        <v>76</v>
      </c>
      <c r="B18" s="39" t="s">
        <v>158</v>
      </c>
      <c r="C18" s="39" t="s">
        <v>159</v>
      </c>
      <c r="D18" s="39" t="s">
        <v>160</v>
      </c>
      <c r="E18" s="39" t="s">
        <v>161</v>
      </c>
      <c r="F18" s="39" t="s">
        <v>162</v>
      </c>
      <c r="G18" s="40" t="s">
        <v>163</v>
      </c>
    </row>
    <row r="19" customFormat="false" ht="15" hidden="false" customHeight="true" outlineLevel="0" collapsed="false">
      <c r="A19" s="54" t="str">
        <f aca="false">A6</f>
        <v>Hermes</v>
      </c>
      <c r="B19" s="55" t="n">
        <f aca="false">D6*E6</f>
        <v>222701.4</v>
      </c>
      <c r="C19" s="55" t="n">
        <f aca="false">B19+F6</f>
        <v>212671.4</v>
      </c>
      <c r="D19" s="56" t="n">
        <f aca="false">C19/G6</f>
        <v>13.1848357098574</v>
      </c>
      <c r="E19" s="56" t="n">
        <f aca="false">C19/H6</f>
        <v>29.4151313969571</v>
      </c>
      <c r="F19" s="56" t="n">
        <f aca="false">C19/I6</f>
        <v>31.5068740740741</v>
      </c>
      <c r="G19" s="57" t="n">
        <f aca="false">D6/K6</f>
        <v>49.3953488372093</v>
      </c>
    </row>
    <row r="20" customFormat="false" ht="15" hidden="false" customHeight="true" outlineLevel="0" collapsed="false">
      <c r="A20" s="54" t="str">
        <f aca="false">A7</f>
        <v>Kering</v>
      </c>
      <c r="B20" s="55" t="n">
        <f aca="false">D7*E7</f>
        <v>35726.565</v>
      </c>
      <c r="C20" s="55" t="n">
        <f aca="false">B20+F7</f>
        <v>49976.565</v>
      </c>
      <c r="D20" s="56" t="n">
        <f aca="false">C20/G7</f>
        <v>3.40439816076294</v>
      </c>
      <c r="E20" s="56" t="n">
        <f aca="false">C20/H7</f>
        <v>16.9988316326531</v>
      </c>
      <c r="F20" s="56" t="n">
        <f aca="false">C20/I7</f>
        <v>30.6604693251534</v>
      </c>
      <c r="G20" s="57" t="n">
        <f aca="false">D7/K7</f>
        <v>488.728813559322</v>
      </c>
    </row>
    <row r="21" customFormat="false" ht="15" hidden="false" customHeight="true" outlineLevel="0" collapsed="false">
      <c r="A21" s="54" t="str">
        <f aca="false">A8</f>
        <v>Richemont</v>
      </c>
      <c r="B21" s="55" t="n">
        <f aca="false">D8*E8</f>
        <v>87307.4304</v>
      </c>
      <c r="C21" s="55" t="n">
        <f aca="false">B21+F8</f>
        <v>85567.4304</v>
      </c>
      <c r="D21" s="56" t="n">
        <f aca="false">C21/G8</f>
        <v>4.16792159766196</v>
      </c>
      <c r="E21" s="56" t="n">
        <f aca="false">C21/H8</f>
        <v>15.4593370189702</v>
      </c>
      <c r="F21" s="56" t="n">
        <f aca="false">C21/I8</f>
        <v>19.6887782788771</v>
      </c>
      <c r="G21" s="57" t="n">
        <f aca="false">D8/K8</f>
        <v>22.7361963190184</v>
      </c>
    </row>
    <row r="22" customFormat="false" ht="15" hidden="false" customHeight="true" outlineLevel="0" collapsed="false">
      <c r="A22" s="54" t="str">
        <f aca="false">A9</f>
        <v>Prada</v>
      </c>
      <c r="B22" s="55" t="n">
        <f aca="false">D9*E9</f>
        <v>99174.4</v>
      </c>
      <c r="C22" s="55" t="n">
        <f aca="false">B22+F9</f>
        <v>131844.4</v>
      </c>
      <c r="D22" s="56" t="n">
        <f aca="false">C22/G9</f>
        <v>2.52333779904306</v>
      </c>
      <c r="E22" s="56" t="n">
        <f aca="false">C22/H9</f>
        <v>6.97958708311276</v>
      </c>
      <c r="F22" s="56" t="n">
        <f aca="false">C22/I9</f>
        <v>9.35066666666667</v>
      </c>
      <c r="G22" s="57" t="n">
        <f aca="false">D9/K9</f>
        <v>12.7434210526316</v>
      </c>
    </row>
    <row r="23" customFormat="false" ht="15" hidden="false" customHeight="true" outlineLevel="0" collapsed="false">
      <c r="A23" s="54" t="str">
        <f aca="false">A10</f>
        <v>Moncler</v>
      </c>
      <c r="B23" s="55" t="n">
        <f aca="false">D10*E10</f>
        <v>12860.26</v>
      </c>
      <c r="C23" s="55" t="n">
        <f aca="false">B23+F10</f>
        <v>12511.36</v>
      </c>
      <c r="D23" s="56" t="n">
        <f aca="false">C23/G10</f>
        <v>3.9098</v>
      </c>
      <c r="E23" s="56" t="n">
        <f aca="false">C23/H10</f>
        <v>13.4530752688172</v>
      </c>
      <c r="F23" s="56" t="n">
        <f aca="false">C23/I10</f>
        <v>21.3504436860068</v>
      </c>
      <c r="G23" s="57" t="n">
        <f aca="false">D10/K10</f>
        <v>20.1489361702128</v>
      </c>
    </row>
    <row r="24" customFormat="false" ht="15" hidden="false" customHeight="true" outlineLevel="0" collapsed="false">
      <c r="A24" s="54" t="str">
        <f aca="false">A11</f>
        <v>Brunello Cucinelli</v>
      </c>
      <c r="B24" s="55" t="n">
        <f aca="false">D11*E11</f>
        <v>5848</v>
      </c>
      <c r="C24" s="55" t="n">
        <f aca="false">B24+F11</f>
        <v>6738</v>
      </c>
      <c r="D24" s="56" t="n">
        <f aca="false">C24/G11</f>
        <v>4.57433808553972</v>
      </c>
      <c r="E24" s="56" t="n">
        <f aca="false">C24/H11</f>
        <v>19.3065902578797</v>
      </c>
      <c r="F24" s="56" t="n">
        <f aca="false">C24/I11</f>
        <v>30.4886877828054</v>
      </c>
      <c r="G24" s="57" t="n">
        <f aca="false">D11/K11</f>
        <v>42.3645320197044</v>
      </c>
    </row>
    <row r="25" customFormat="false" ht="15" hidden="false" customHeight="true" outlineLevel="0" collapsed="false">
      <c r="A25" s="46"/>
      <c r="B25" s="47"/>
      <c r="C25" s="47"/>
      <c r="D25" s="47"/>
      <c r="E25" s="47"/>
      <c r="F25" s="47"/>
      <c r="G25" s="48"/>
    </row>
    <row r="26" customFormat="false" ht="15" hidden="false" customHeight="true" outlineLevel="0" collapsed="false">
      <c r="A26" s="49" t="s">
        <v>156</v>
      </c>
      <c r="B26" s="58" t="n">
        <f aca="false">D13*E13</f>
        <v>232583.5345</v>
      </c>
      <c r="C26" s="58" t="n">
        <f aca="false">B26+F13</f>
        <v>257323.5345</v>
      </c>
      <c r="D26" s="59" t="n">
        <f aca="false">C26/G13</f>
        <v>3.18430311223858</v>
      </c>
      <c r="E26" s="59" t="n">
        <f aca="false">C26/H13</f>
        <v>10.798301909358</v>
      </c>
      <c r="F26" s="59" t="n">
        <f aca="false">C26/I13</f>
        <v>14.472639735658</v>
      </c>
      <c r="G26" s="60" t="n">
        <f aca="false">D13/K13</f>
        <v>21.3754562043796</v>
      </c>
    </row>
    <row r="29" customFormat="false" ht="15" hidden="false" customHeight="true" outlineLevel="0" collapsed="false">
      <c r="A29" s="13" t="s">
        <v>164</v>
      </c>
      <c r="B29" s="37"/>
      <c r="C29" s="37"/>
      <c r="D29" s="37"/>
      <c r="E29" s="37"/>
    </row>
    <row r="31" customFormat="false" ht="34.5" hidden="false" customHeight="true" outlineLevel="0" collapsed="false">
      <c r="A31" s="38" t="s">
        <v>165</v>
      </c>
      <c r="B31" s="39" t="s">
        <v>160</v>
      </c>
      <c r="C31" s="39" t="s">
        <v>161</v>
      </c>
      <c r="D31" s="39" t="s">
        <v>162</v>
      </c>
      <c r="E31" s="40" t="s">
        <v>166</v>
      </c>
    </row>
    <row r="32" customFormat="false" ht="15" hidden="false" customHeight="true" outlineLevel="0" collapsed="false">
      <c r="A32" s="61" t="s">
        <v>167</v>
      </c>
      <c r="B32" s="56" t="n">
        <f aca="false">AVERAGE(D19:D24)</f>
        <v>5.29410522547752</v>
      </c>
      <c r="C32" s="56" t="n">
        <f aca="false">AVERAGE(E19:E24)</f>
        <v>16.935425443065</v>
      </c>
      <c r="D32" s="56" t="n">
        <f aca="false">AVERAGE(F19:F24)</f>
        <v>23.8409866355973</v>
      </c>
      <c r="E32" s="57" t="n">
        <f aca="false">AVERAGE(G19,G21:G24)</f>
        <v>29.4776868797553</v>
      </c>
    </row>
    <row r="33" customFormat="false" ht="15" hidden="false" customHeight="true" outlineLevel="0" collapsed="false">
      <c r="A33" s="61" t="s">
        <v>168</v>
      </c>
      <c r="B33" s="62" t="n">
        <f aca="false">MEDIAN(D19:D24)</f>
        <v>4.03886079883098</v>
      </c>
      <c r="C33" s="62" t="n">
        <f aca="false">MEDIAN(E19:E24)</f>
        <v>16.2290843258116</v>
      </c>
      <c r="D33" s="62" t="n">
        <f aca="false">MEDIAN(F19:F24)</f>
        <v>25.9195657344061</v>
      </c>
      <c r="E33" s="63" t="n">
        <f aca="false">MEDIAN(G19,G21:G24)</f>
        <v>22.7361963190184</v>
      </c>
    </row>
    <row r="34" customFormat="false" ht="15" hidden="false" customHeight="true" outlineLevel="0" collapsed="false">
      <c r="A34" s="61" t="s">
        <v>169</v>
      </c>
      <c r="B34" s="56" t="n">
        <f aca="false">MIN(D19:D24)</f>
        <v>2.52333779904306</v>
      </c>
      <c r="C34" s="56" t="n">
        <f aca="false">MIN(E19:E24)</f>
        <v>6.97958708311276</v>
      </c>
      <c r="D34" s="56" t="n">
        <f aca="false">MIN(F19:F24)</f>
        <v>9.35066666666667</v>
      </c>
      <c r="E34" s="57" t="n">
        <f aca="false">MIN(G19,G21:G24)</f>
        <v>12.7434210526316</v>
      </c>
    </row>
    <row r="35" customFormat="false" ht="15" hidden="false" customHeight="true" outlineLevel="0" collapsed="false">
      <c r="A35" s="64" t="s">
        <v>170</v>
      </c>
      <c r="B35" s="65" t="n">
        <f aca="false">MAX(D19:D24)</f>
        <v>13.1848357098574</v>
      </c>
      <c r="C35" s="65" t="n">
        <f aca="false">MAX(E19:E24)</f>
        <v>29.4151313969571</v>
      </c>
      <c r="D35" s="65" t="n">
        <f aca="false">MAX(F19:F24)</f>
        <v>31.5068740740741</v>
      </c>
      <c r="E35" s="66" t="n">
        <f aca="false">MAX(G19,G21:G24)</f>
        <v>49.3953488372093</v>
      </c>
    </row>
    <row r="36" customFormat="false" ht="23.25" hidden="false" customHeight="true" outlineLevel="0" collapsed="false">
      <c r="A36" s="67" t="s">
        <v>171</v>
      </c>
      <c r="B36" s="67"/>
      <c r="C36" s="67"/>
      <c r="D36" s="67"/>
      <c r="E36" s="67"/>
      <c r="F36" s="67"/>
      <c r="G36" s="67"/>
    </row>
    <row r="38" customFormat="false" ht="15" hidden="false" customHeight="true" outlineLevel="0" collapsed="false">
      <c r="A38" s="68" t="s">
        <v>172</v>
      </c>
      <c r="B38" s="68"/>
      <c r="C38" s="68"/>
      <c r="D38" s="68"/>
      <c r="E38" s="68"/>
      <c r="F38" s="68"/>
    </row>
    <row r="40" customFormat="false" ht="45.75" hidden="false" customHeight="true" outlineLevel="0" collapsed="false">
      <c r="A40" s="38" t="s">
        <v>76</v>
      </c>
      <c r="B40" s="39" t="s">
        <v>173</v>
      </c>
      <c r="C40" s="39" t="s">
        <v>174</v>
      </c>
      <c r="D40" s="39" t="s">
        <v>175</v>
      </c>
      <c r="E40" s="39" t="s">
        <v>176</v>
      </c>
      <c r="F40" s="40" t="s">
        <v>177</v>
      </c>
    </row>
    <row r="41" customFormat="false" ht="15" hidden="false" customHeight="true" outlineLevel="0" collapsed="false">
      <c r="A41" s="54" t="str">
        <f aca="false">A6</f>
        <v>Hermes</v>
      </c>
      <c r="B41" s="69" t="n">
        <f aca="false">(G6-M6)/M6</f>
        <v>0.0632827949901121</v>
      </c>
      <c r="C41" s="69" t="n">
        <f aca="false">H6/G6</f>
        <v>0.448233106013639</v>
      </c>
      <c r="D41" s="69" t="n">
        <f aca="false">I6/G6</f>
        <v>0.41847489150651</v>
      </c>
      <c r="E41" s="69" t="n">
        <f aca="false">J6/G6</f>
        <v>0.280223186608803</v>
      </c>
      <c r="F41" s="70" t="n">
        <f aca="false">J6/N6</f>
        <v>0.254504504504505</v>
      </c>
    </row>
    <row r="42" customFormat="false" ht="15" hidden="false" customHeight="true" outlineLevel="0" collapsed="false">
      <c r="A42" s="54" t="str">
        <f aca="false">A7</f>
        <v>Kering</v>
      </c>
      <c r="B42" s="69" t="n">
        <f aca="false">(G7-M7)/M7</f>
        <v>-0.129816241849437</v>
      </c>
      <c r="C42" s="69" t="n">
        <f aca="false">H7/G7</f>
        <v>0.200272479564033</v>
      </c>
      <c r="D42" s="69" t="n">
        <f aca="false">I7/G7</f>
        <v>0.111035422343324</v>
      </c>
      <c r="E42" s="69" t="n">
        <f aca="false">J7/G7</f>
        <v>0.00490463215258856</v>
      </c>
      <c r="F42" s="70" t="n">
        <f aca="false">J7/N7</f>
        <v>0.0025</v>
      </c>
    </row>
    <row r="43" customFormat="false" ht="15" hidden="false" customHeight="true" outlineLevel="0" collapsed="false">
      <c r="A43" s="54" t="str">
        <f aca="false">A8</f>
        <v>Richemont</v>
      </c>
      <c r="B43" s="69" t="n">
        <f aca="false">(G8-M8)/M8</f>
        <v>0.0379695636786491</v>
      </c>
      <c r="C43" s="69" t="n">
        <f aca="false">H8/G8</f>
        <v>0.269605455431076</v>
      </c>
      <c r="D43" s="69" t="n">
        <f aca="false">I8/G8</f>
        <v>0.211690209449586</v>
      </c>
      <c r="E43" s="69" t="n">
        <f aca="false">J8/G8</f>
        <v>0.187043351193376</v>
      </c>
      <c r="F43" s="70" t="n">
        <f aca="false">J8/N8</f>
        <v>0.181303116147309</v>
      </c>
    </row>
    <row r="44" customFormat="false" ht="15" hidden="false" customHeight="true" outlineLevel="0" collapsed="false">
      <c r="A44" s="54" t="str">
        <f aca="false">A9</f>
        <v>Prada</v>
      </c>
      <c r="B44" s="69" t="n">
        <f aca="false">(G9-M9)/M9</f>
        <v>0.0574140408394552</v>
      </c>
      <c r="C44" s="69" t="n">
        <f aca="false">H9/G9</f>
        <v>0.361531100478469</v>
      </c>
      <c r="D44" s="69" t="n">
        <f aca="false">I9/G9</f>
        <v>0.269856459330144</v>
      </c>
      <c r="E44" s="69" t="n">
        <f aca="false">J9/G9</f>
        <v>0.149090909090909</v>
      </c>
      <c r="F44" s="70" t="n">
        <f aca="false">J9/N9</f>
        <v>0.189602297619627</v>
      </c>
    </row>
    <row r="45" customFormat="false" ht="15" hidden="false" customHeight="true" outlineLevel="0" collapsed="false">
      <c r="A45" s="54" t="str">
        <f aca="false">A10</f>
        <v>Moncler</v>
      </c>
      <c r="B45" s="69" t="n">
        <f aca="false">(G10-M10)/M10</f>
        <v>0.0223642172523962</v>
      </c>
      <c r="C45" s="69" t="n">
        <f aca="false">H10/G10</f>
        <v>0.290625</v>
      </c>
      <c r="D45" s="69" t="n">
        <f aca="false">I10/G10</f>
        <v>0.183125</v>
      </c>
      <c r="E45" s="69" t="n">
        <f aca="false">J10/G10</f>
        <v>0.19934375</v>
      </c>
      <c r="F45" s="70" t="n">
        <f aca="false">J10/N10</f>
        <v>0.168533685601057</v>
      </c>
    </row>
    <row r="46" customFormat="false" ht="15" hidden="false" customHeight="true" outlineLevel="0" collapsed="false">
      <c r="A46" s="54" t="str">
        <f aca="false">A11</f>
        <v>Brunello Cucinelli</v>
      </c>
      <c r="B46" s="69" t="n">
        <f aca="false">(G11-M11)/M11</f>
        <v>0.0992537313432836</v>
      </c>
      <c r="C46" s="69" t="n">
        <f aca="false">H11/G11</f>
        <v>0.236931432450781</v>
      </c>
      <c r="D46" s="69" t="n">
        <f aca="false">I11/G11</f>
        <v>0.150033944331297</v>
      </c>
      <c r="E46" s="69" t="n">
        <f aca="false">J11/G11</f>
        <v>0.0936184657162254</v>
      </c>
      <c r="F46" s="70" t="n">
        <f aca="false">J11/N11</f>
        <v>0.291173986486486</v>
      </c>
    </row>
    <row r="47" customFormat="false" ht="15" hidden="false" customHeight="true" outlineLevel="0" collapsed="false">
      <c r="A47" s="46"/>
      <c r="B47" s="47"/>
      <c r="C47" s="47"/>
      <c r="D47" s="47"/>
      <c r="E47" s="47"/>
      <c r="F47" s="48"/>
    </row>
    <row r="48" customFormat="false" ht="15" hidden="false" customHeight="true" outlineLevel="0" collapsed="false">
      <c r="A48" s="49" t="s">
        <v>156</v>
      </c>
      <c r="B48" s="71" t="n">
        <f aca="false">(G13-M13)/M13</f>
        <v>-0.045701464336325</v>
      </c>
      <c r="C48" s="71" t="n">
        <f aca="false">H13/G13</f>
        <v>0.294889246380399</v>
      </c>
      <c r="D48" s="71" t="n">
        <f aca="false">I13/G13</f>
        <v>0.220022274470981</v>
      </c>
      <c r="E48" s="71" t="n">
        <f aca="false">J13/G13</f>
        <v>0.134636802375944</v>
      </c>
      <c r="F48" s="72" t="n">
        <f aca="false">J13/N13</f>
        <v>0.162388059701493</v>
      </c>
    </row>
    <row r="50" customFormat="false" ht="45.75" hidden="false" customHeight="true" outlineLevel="0" collapsed="false">
      <c r="A50" s="38" t="s">
        <v>165</v>
      </c>
      <c r="B50" s="39" t="s">
        <v>173</v>
      </c>
      <c r="C50" s="39" t="s">
        <v>174</v>
      </c>
      <c r="D50" s="39" t="s">
        <v>175</v>
      </c>
      <c r="E50" s="39" t="s">
        <v>176</v>
      </c>
      <c r="F50" s="40" t="s">
        <v>177</v>
      </c>
    </row>
    <row r="51" customFormat="false" ht="15" hidden="false" customHeight="true" outlineLevel="0" collapsed="false">
      <c r="A51" s="61" t="s">
        <v>167</v>
      </c>
      <c r="B51" s="69" t="n">
        <f aca="false">AVERAGE(B41:B46)</f>
        <v>0.0250780177090765</v>
      </c>
      <c r="C51" s="69" t="n">
        <f aca="false">AVERAGE(C41:C46)</f>
        <v>0.301199762323</v>
      </c>
      <c r="D51" s="69" t="n">
        <f aca="false">AVERAGE(D41:D46)</f>
        <v>0.22403598782681</v>
      </c>
      <c r="E51" s="69" t="n">
        <f aca="false">AVERAGE(E41:E46)</f>
        <v>0.15237071579365</v>
      </c>
      <c r="F51" s="70" t="n">
        <f aca="false">AVERAGE(F41:F46)</f>
        <v>0.181269598393164</v>
      </c>
    </row>
    <row r="52" customFormat="false" ht="15" hidden="false" customHeight="true" outlineLevel="0" collapsed="false">
      <c r="A52" s="61" t="s">
        <v>168</v>
      </c>
      <c r="B52" s="73" t="n">
        <f aca="false">MEDIAN(B41:B46)</f>
        <v>0.0476918022590521</v>
      </c>
      <c r="C52" s="73" t="n">
        <f aca="false">MEDIAN(C41:C46)</f>
        <v>0.280115227715538</v>
      </c>
      <c r="D52" s="73" t="n">
        <f aca="false">MEDIAN(D41:D46)</f>
        <v>0.197407604724793</v>
      </c>
      <c r="E52" s="73" t="n">
        <f aca="false">MEDIAN(E41:E46)</f>
        <v>0.168067130142142</v>
      </c>
      <c r="F52" s="74" t="n">
        <f aca="false">MEDIAN(F41:F46)</f>
        <v>0.185452706883468</v>
      </c>
    </row>
    <row r="53" customFormat="false" ht="15" hidden="false" customHeight="true" outlineLevel="0" collapsed="false">
      <c r="A53" s="61" t="s">
        <v>169</v>
      </c>
      <c r="B53" s="69" t="n">
        <f aca="false">MIN(B41:B46)</f>
        <v>-0.129816241849437</v>
      </c>
      <c r="C53" s="69" t="n">
        <f aca="false">MIN(C41:C46)</f>
        <v>0.200272479564033</v>
      </c>
      <c r="D53" s="69" t="n">
        <f aca="false">MIN(D41:D46)</f>
        <v>0.111035422343324</v>
      </c>
      <c r="E53" s="69" t="n">
        <f aca="false">MIN(E41:E46)</f>
        <v>0.00490463215258856</v>
      </c>
      <c r="F53" s="70" t="n">
        <f aca="false">MIN(F41:F46)</f>
        <v>0.0025</v>
      </c>
    </row>
    <row r="54" customFormat="false" ht="15" hidden="false" customHeight="true" outlineLevel="0" collapsed="false">
      <c r="A54" s="64" t="s">
        <v>170</v>
      </c>
      <c r="B54" s="75" t="n">
        <f aca="false">MAX(B41:B46)</f>
        <v>0.0992537313432836</v>
      </c>
      <c r="C54" s="75" t="n">
        <f aca="false">MAX(C41:C46)</f>
        <v>0.448233106013639</v>
      </c>
      <c r="D54" s="75" t="n">
        <f aca="false">MAX(D41:D46)</f>
        <v>0.41847489150651</v>
      </c>
      <c r="E54" s="75" t="n">
        <f aca="false">MAX(E41:E46)</f>
        <v>0.280223186608803</v>
      </c>
      <c r="F54" s="76" t="n">
        <f aca="false">MAX(F41:F46)</f>
        <v>0.291173986486486</v>
      </c>
    </row>
    <row r="56" customFormat="false" ht="15" hidden="false" customHeight="true" outlineLevel="0" collapsed="false">
      <c r="A56" s="68" t="s">
        <v>178</v>
      </c>
      <c r="B56" s="68"/>
      <c r="C56" s="68"/>
      <c r="D56" s="68"/>
      <c r="E56" s="68"/>
    </row>
    <row r="58" customFormat="false" ht="45.75" hidden="false" customHeight="true" outlineLevel="0" collapsed="false">
      <c r="A58" s="38" t="s">
        <v>76</v>
      </c>
      <c r="B58" s="39" t="s">
        <v>179</v>
      </c>
      <c r="C58" s="39" t="s">
        <v>180</v>
      </c>
      <c r="D58" s="39" t="s">
        <v>181</v>
      </c>
      <c r="E58" s="40" t="s">
        <v>182</v>
      </c>
    </row>
    <row r="59" customFormat="false" ht="15" hidden="false" customHeight="true" outlineLevel="0" collapsed="false">
      <c r="A59" s="54" t="str">
        <f aca="false">A6</f>
        <v>Hermes</v>
      </c>
      <c r="B59" s="56" t="n">
        <f aca="false">C19/O6</f>
        <v>12.2084615384615</v>
      </c>
      <c r="C59" s="56" t="n">
        <f aca="false">C19/(O6*(H6/G6))</f>
        <v>27.2368581764017</v>
      </c>
      <c r="D59" s="56" t="n">
        <f aca="false">C19/(O6*(I6/G6))</f>
        <v>29.1737014245014</v>
      </c>
      <c r="E59" s="57" t="n">
        <f aca="false">D6/P6</f>
        <v>45.7364341085271</v>
      </c>
    </row>
    <row r="60" customFormat="false" ht="15" hidden="false" customHeight="true" outlineLevel="0" collapsed="false">
      <c r="A60" s="54" t="str">
        <f aca="false">A7</f>
        <v>Kering</v>
      </c>
      <c r="B60" s="56" t="n">
        <f aca="false">C20/O7</f>
        <v>3.28793190789474</v>
      </c>
      <c r="C60" s="56" t="n">
        <f aca="false">C20/(O7*(H7/G7))</f>
        <v>16.4172926557465</v>
      </c>
      <c r="D60" s="56" t="n">
        <f aca="false">C20/(O7*(I7/G7))</f>
        <v>29.6115585324508</v>
      </c>
      <c r="E60" s="57" t="n">
        <f aca="false">D7/P7</f>
        <v>52.6186131386861</v>
      </c>
    </row>
    <row r="61" customFormat="false" ht="15" hidden="false" customHeight="true" outlineLevel="0" collapsed="false">
      <c r="A61" s="54" t="str">
        <f aca="false">A8</f>
        <v>Richemont</v>
      </c>
      <c r="B61" s="56" t="n">
        <f aca="false">C21/O8</f>
        <v>3.93232676470588</v>
      </c>
      <c r="C61" s="56" t="n">
        <f aca="false">C21/(O8*(H8/G8))</f>
        <v>14.5854866268133</v>
      </c>
      <c r="D61" s="56" t="n">
        <f aca="false">C21/(O8*(I8/G8))</f>
        <v>18.5758556096208</v>
      </c>
      <c r="E61" s="57" t="n">
        <f aca="false">D8/P8</f>
        <v>21.4529667149059</v>
      </c>
    </row>
    <row r="62" customFormat="false" ht="15" hidden="false" customHeight="true" outlineLevel="0" collapsed="false">
      <c r="A62" s="54" t="str">
        <f aca="false">A9</f>
        <v>Prada</v>
      </c>
      <c r="B62" s="56" t="n">
        <f aca="false">C22/O9</f>
        <v>2.33642388800284</v>
      </c>
      <c r="C62" s="56" t="n">
        <f aca="false">C22/(O9*(H9/G9))</f>
        <v>6.46258063251181</v>
      </c>
      <c r="D62" s="56" t="n">
        <f aca="false">C22/(O9*(I9/G9))</f>
        <v>8.65802469135803</v>
      </c>
      <c r="E62" s="57" t="n">
        <f aca="false">D9/P9</f>
        <v>13.2671232876712</v>
      </c>
    </row>
    <row r="63" customFormat="false" ht="15" hidden="false" customHeight="true" outlineLevel="0" collapsed="false">
      <c r="A63" s="54" t="str">
        <f aca="false">A10</f>
        <v>Moncler</v>
      </c>
      <c r="B63" s="56" t="n">
        <f aca="false">C23/O10</f>
        <v>3.75942307692308</v>
      </c>
      <c r="C63" s="56" t="n">
        <f aca="false">C23/(O10*(H10/G10))</f>
        <v>12.9356492969396</v>
      </c>
      <c r="D63" s="56" t="n">
        <f aca="false">C23/(O10*(I10/G10))</f>
        <v>20.5292727750066</v>
      </c>
      <c r="E63" s="57" t="n">
        <f aca="false">D10/P10</f>
        <v>23.3251231527094</v>
      </c>
    </row>
    <row r="64" customFormat="false" ht="15" hidden="false" customHeight="true" outlineLevel="0" collapsed="false">
      <c r="A64" s="54" t="str">
        <f aca="false">A11</f>
        <v>Brunello Cucinelli</v>
      </c>
      <c r="B64" s="56" t="n">
        <f aca="false">C24/O11</f>
        <v>4.15925925925926</v>
      </c>
      <c r="C64" s="56" t="n">
        <f aca="false">C24/(O11*(H11/G11))</f>
        <v>17.5546959567017</v>
      </c>
      <c r="D64" s="56" t="n">
        <f aca="false">C24/(O11*(I11/G11))</f>
        <v>27.7221216691805</v>
      </c>
      <c r="E64" s="57" t="n">
        <f aca="false">D11/P11</f>
        <v>45.0261780104712</v>
      </c>
    </row>
    <row r="65" customFormat="false" ht="15" hidden="false" customHeight="true" outlineLevel="0" collapsed="false">
      <c r="A65" s="46"/>
      <c r="B65" s="47"/>
      <c r="C65" s="47"/>
      <c r="D65" s="47"/>
      <c r="E65" s="48"/>
    </row>
    <row r="66" customFormat="false" ht="15" hidden="false" customHeight="true" outlineLevel="0" collapsed="false">
      <c r="A66" s="49" t="s">
        <v>156</v>
      </c>
      <c r="B66" s="59" t="n">
        <f aca="false">C26/O13</f>
        <v>3.07656067073171</v>
      </c>
      <c r="C66" s="59" t="n">
        <f aca="false">C26/(O13*(H13/G13))</f>
        <v>10.4329361226114</v>
      </c>
      <c r="D66" s="59" t="n">
        <f aca="false">C26/(O13*(I13/G13))</f>
        <v>13.9829509449848</v>
      </c>
      <c r="E66" s="60" t="n">
        <f aca="false">D13/P13</f>
        <v>20.0492083868207</v>
      </c>
    </row>
    <row r="68" customFormat="false" ht="45.75" hidden="false" customHeight="true" outlineLevel="0" collapsed="false">
      <c r="A68" s="38" t="s">
        <v>165</v>
      </c>
      <c r="B68" s="39" t="s">
        <v>179</v>
      </c>
      <c r="C68" s="39" t="s">
        <v>180</v>
      </c>
      <c r="D68" s="39" t="s">
        <v>181</v>
      </c>
      <c r="E68" s="40" t="s">
        <v>182</v>
      </c>
    </row>
    <row r="69" customFormat="false" ht="15" hidden="false" customHeight="true" outlineLevel="0" collapsed="false">
      <c r="A69" s="61" t="s">
        <v>167</v>
      </c>
      <c r="B69" s="56" t="n">
        <f aca="false">AVERAGE(B59:B64)</f>
        <v>4.94730440587456</v>
      </c>
      <c r="C69" s="56" t="n">
        <f aca="false">AVERAGE(C59:C64)</f>
        <v>15.8654272241858</v>
      </c>
      <c r="D69" s="56" t="n">
        <f aca="false">AVERAGE(D59:D64)</f>
        <v>22.378422450353</v>
      </c>
      <c r="E69" s="57" t="n">
        <f aca="false">AVERAGE(E59:E64)</f>
        <v>33.5710730688285</v>
      </c>
    </row>
    <row r="70" customFormat="false" ht="15" hidden="false" customHeight="true" outlineLevel="0" collapsed="false">
      <c r="A70" s="61" t="s">
        <v>168</v>
      </c>
      <c r="B70" s="62" t="n">
        <f aca="false">MEDIAN(B59:B64)</f>
        <v>3.84587492081448</v>
      </c>
      <c r="C70" s="62" t="n">
        <f aca="false">MEDIAN(C59:C64)</f>
        <v>15.5013896412799</v>
      </c>
      <c r="D70" s="62" t="n">
        <f aca="false">MEDIAN(D59:D64)</f>
        <v>24.1256972220935</v>
      </c>
      <c r="E70" s="63" t="n">
        <f aca="false">MEDIAN(E59:E64)</f>
        <v>34.1756505815903</v>
      </c>
    </row>
    <row r="71" customFormat="false" ht="15" hidden="false" customHeight="true" outlineLevel="0" collapsed="false">
      <c r="A71" s="61" t="s">
        <v>169</v>
      </c>
      <c r="B71" s="56" t="n">
        <f aca="false">MIN(B59:B64)</f>
        <v>2.33642388800284</v>
      </c>
      <c r="C71" s="56" t="n">
        <f aca="false">MIN(C59:C64)</f>
        <v>6.46258063251181</v>
      </c>
      <c r="D71" s="56" t="n">
        <f aca="false">MIN(D59:D64)</f>
        <v>8.65802469135803</v>
      </c>
      <c r="E71" s="57" t="n">
        <f aca="false">MIN(E59:E64)</f>
        <v>13.2671232876712</v>
      </c>
    </row>
    <row r="72" customFormat="false" ht="15" hidden="false" customHeight="true" outlineLevel="0" collapsed="false">
      <c r="A72" s="64" t="s">
        <v>170</v>
      </c>
      <c r="B72" s="65" t="n">
        <f aca="false">MAX(B59:B64)</f>
        <v>12.2084615384615</v>
      </c>
      <c r="C72" s="65" t="n">
        <f aca="false">MAX(C59:C64)</f>
        <v>27.2368581764017</v>
      </c>
      <c r="D72" s="65" t="n">
        <f aca="false">MAX(D59:D64)</f>
        <v>29.6115585324508</v>
      </c>
      <c r="E72" s="66" t="n">
        <f aca="false">MAX(E59:E64)</f>
        <v>52.6186131386861</v>
      </c>
    </row>
  </sheetData>
  <mergeCells count="1">
    <mergeCell ref="A36:G36"/>
  </mergeCells>
  <printOptions headings="false" gridLines="false" gridLinesSet="true" horizontalCentered="true" verticalCentered="false"/>
  <pageMargins left="0.4" right="0.4" top="0.5" bottom="0.5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LVMH Comparable Companies Analysis&amp;C&amp;8 Prepared by: Supraja Chinareddy  |  Strictly Private Confidential&amp;R&amp;8 Version 1.0  |  Aug 06, 2026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20"/>
    <col collapsed="false" customWidth="true" hidden="false" outlineLevel="0" max="5" min="5" style="1" width="26"/>
    <col collapsed="false" customWidth="true" hidden="false" outlineLevel="0" max="6" min="6" style="1" width="24"/>
    <col collapsed="false" customWidth="true" hidden="false" outlineLevel="0" max="7" min="7" style="1" width="16"/>
    <col collapsed="false" customWidth="true" hidden="true" outlineLevel="0" max="10" min="8" style="1" width="13"/>
  </cols>
  <sheetData>
    <row r="1" customFormat="false" ht="15" hidden="false" customHeight="true" outlineLevel="0" collapsed="false">
      <c r="A1" s="2" t="s">
        <v>183</v>
      </c>
    </row>
    <row r="3" customFormat="false" ht="15" hidden="false" customHeight="true" outlineLevel="0" collapsed="false">
      <c r="A3" s="13" t="s">
        <v>184</v>
      </c>
      <c r="B3" s="37"/>
    </row>
    <row r="4" customFormat="false" ht="15" hidden="false" customHeight="true" outlineLevel="0" collapsed="false">
      <c r="A4" s="5" t="s">
        <v>185</v>
      </c>
      <c r="B4" s="77" t="n">
        <f aca="false">'Trading Comps'!D13</f>
        <v>468.55</v>
      </c>
    </row>
    <row r="5" customFormat="false" ht="15" hidden="false" customHeight="true" outlineLevel="0" collapsed="false">
      <c r="A5" s="5" t="s">
        <v>186</v>
      </c>
      <c r="B5" s="78" t="n">
        <f aca="false">'Trading Comps'!E13</f>
        <v>496.39</v>
      </c>
    </row>
    <row r="6" customFormat="false" ht="15" hidden="false" customHeight="true" outlineLevel="0" collapsed="false">
      <c r="A6" s="5" t="s">
        <v>187</v>
      </c>
      <c r="B6" s="78" t="n">
        <f aca="false">'Trading Comps'!F13</f>
        <v>24740</v>
      </c>
    </row>
    <row r="7" customFormat="false" ht="15" hidden="false" customHeight="true" outlineLevel="0" collapsed="false">
      <c r="A7" s="5" t="s">
        <v>188</v>
      </c>
      <c r="B7" s="78" t="n">
        <f aca="false">'Trading Comps'!G13</f>
        <v>80810</v>
      </c>
    </row>
    <row r="8" customFormat="false" ht="15" hidden="false" customHeight="true" outlineLevel="0" collapsed="false">
      <c r="A8" s="5" t="s">
        <v>189</v>
      </c>
      <c r="B8" s="78" t="n">
        <f aca="false">'Trading Comps'!H13</f>
        <v>23830</v>
      </c>
    </row>
    <row r="9" customFormat="false" ht="15" hidden="false" customHeight="true" outlineLevel="0" collapsed="false">
      <c r="A9" s="5" t="s">
        <v>190</v>
      </c>
      <c r="B9" s="78" t="n">
        <f aca="false">'Trading Comps'!I13</f>
        <v>17780</v>
      </c>
    </row>
    <row r="10" customFormat="false" ht="15" hidden="false" customHeight="true" outlineLevel="0" collapsed="false">
      <c r="A10" s="5" t="s">
        <v>191</v>
      </c>
      <c r="B10" s="78" t="n">
        <f aca="false">'Trading Comps'!J13</f>
        <v>10880</v>
      </c>
    </row>
    <row r="11" customFormat="false" ht="15" hidden="false" customHeight="true" outlineLevel="0" collapsed="false">
      <c r="A11" s="5" t="s">
        <v>192</v>
      </c>
      <c r="B11" s="77" t="n">
        <f aca="false">'Trading Comps'!K13</f>
        <v>21.92</v>
      </c>
    </row>
    <row r="13" customFormat="false" ht="15" hidden="false" customHeight="true" outlineLevel="0" collapsed="false">
      <c r="A13" s="13" t="s">
        <v>193</v>
      </c>
      <c r="B13" s="37"/>
      <c r="C13" s="37"/>
      <c r="D13" s="37"/>
      <c r="E13" s="37"/>
      <c r="F13" s="37"/>
    </row>
    <row r="15" customFormat="false" ht="15" hidden="false" customHeight="true" outlineLevel="0" collapsed="false">
      <c r="A15" s="38" t="s">
        <v>194</v>
      </c>
      <c r="B15" s="39" t="s">
        <v>195</v>
      </c>
      <c r="C15" s="39" t="s">
        <v>196</v>
      </c>
      <c r="D15" s="39" t="s">
        <v>197</v>
      </c>
      <c r="E15" s="39" t="s">
        <v>198</v>
      </c>
      <c r="F15" s="40" t="s">
        <v>199</v>
      </c>
    </row>
    <row r="16" customFormat="false" ht="15" hidden="false" customHeight="true" outlineLevel="0" collapsed="false">
      <c r="A16" s="41" t="s">
        <v>160</v>
      </c>
      <c r="B16" s="79" t="n">
        <f aca="false">'Trading Comps'!B33</f>
        <v>4.03886079883098</v>
      </c>
      <c r="C16" s="55" t="n">
        <f aca="false">$B$7</f>
        <v>80810</v>
      </c>
      <c r="D16" s="55" t="n">
        <f aca="false">B16*C16</f>
        <v>326380.341153531</v>
      </c>
      <c r="E16" s="55" t="n">
        <f aca="false">D16-$B$6</f>
        <v>301640.341153531</v>
      </c>
      <c r="F16" s="80" t="n">
        <f aca="false">E16/$B$5</f>
        <v>607.668045596268</v>
      </c>
    </row>
    <row r="17" customFormat="false" ht="15" hidden="false" customHeight="true" outlineLevel="0" collapsed="false">
      <c r="A17" s="41" t="s">
        <v>161</v>
      </c>
      <c r="B17" s="79" t="n">
        <f aca="false">'Trading Comps'!C33</f>
        <v>16.2290843258116</v>
      </c>
      <c r="C17" s="55" t="n">
        <f aca="false">$B$8</f>
        <v>23830</v>
      </c>
      <c r="D17" s="55" t="n">
        <f aca="false">B17*C17</f>
        <v>386739.079484091</v>
      </c>
      <c r="E17" s="55" t="n">
        <f aca="false">D17-$B$6</f>
        <v>361999.079484091</v>
      </c>
      <c r="F17" s="80" t="n">
        <f aca="false">E17/$B$5</f>
        <v>729.263441012291</v>
      </c>
    </row>
    <row r="18" customFormat="false" ht="15" hidden="false" customHeight="true" outlineLevel="0" collapsed="false">
      <c r="A18" s="41" t="s">
        <v>162</v>
      </c>
      <c r="B18" s="79" t="n">
        <f aca="false">'Trading Comps'!D33</f>
        <v>25.9195657344061</v>
      </c>
      <c r="C18" s="55" t="n">
        <f aca="false">$B$9</f>
        <v>17780</v>
      </c>
      <c r="D18" s="55" t="n">
        <f aca="false">B18*C18</f>
        <v>460849.878757741</v>
      </c>
      <c r="E18" s="55" t="n">
        <f aca="false">D18-$B$6</f>
        <v>436109.878757741</v>
      </c>
      <c r="F18" s="80" t="n">
        <f aca="false">E18/$B$5</f>
        <v>878.562982247307</v>
      </c>
    </row>
    <row r="19" customFormat="false" ht="15" hidden="false" customHeight="true" outlineLevel="0" collapsed="false">
      <c r="A19" s="81" t="s">
        <v>166</v>
      </c>
      <c r="B19" s="82" t="n">
        <f aca="false">'Trading Comps'!E33</f>
        <v>22.7361963190184</v>
      </c>
      <c r="C19" s="83" t="n">
        <f aca="false">$B$11</f>
        <v>21.92</v>
      </c>
      <c r="D19" s="84" t="n">
        <f aca="false">E19+$B$6</f>
        <v>272129.569158282</v>
      </c>
      <c r="E19" s="84" t="n">
        <f aca="false">F19*$B$5</f>
        <v>247389.569158282</v>
      </c>
      <c r="F19" s="85" t="n">
        <f aca="false">B19*C19</f>
        <v>498.377423312884</v>
      </c>
    </row>
    <row r="20" customFormat="false" ht="27.75" hidden="false" customHeight="true" outlineLevel="0" collapsed="false">
      <c r="A20" s="9" t="s">
        <v>200</v>
      </c>
    </row>
    <row r="22" customFormat="false" ht="15" hidden="false" customHeight="true" outlineLevel="0" collapsed="false">
      <c r="A22" s="13" t="s">
        <v>201</v>
      </c>
      <c r="B22" s="37"/>
      <c r="C22" s="37"/>
      <c r="D22" s="37"/>
      <c r="E22" s="37"/>
    </row>
    <row r="24" customFormat="false" ht="15" hidden="false" customHeight="true" outlineLevel="0" collapsed="false">
      <c r="A24" s="38" t="s">
        <v>194</v>
      </c>
      <c r="B24" s="39" t="s">
        <v>202</v>
      </c>
      <c r="C24" s="39" t="s">
        <v>168</v>
      </c>
      <c r="D24" s="39" t="s">
        <v>203</v>
      </c>
      <c r="E24" s="39" t="s">
        <v>204</v>
      </c>
      <c r="F24" s="39" t="s">
        <v>205</v>
      </c>
      <c r="G24" s="86" t="s">
        <v>206</v>
      </c>
      <c r="H24" s="15" t="s">
        <v>207</v>
      </c>
      <c r="I24" s="15" t="s">
        <v>208</v>
      </c>
      <c r="J24" s="15" t="s">
        <v>209</v>
      </c>
    </row>
    <row r="25" customFormat="false" ht="15" hidden="false" customHeight="true" outlineLevel="0" collapsed="false">
      <c r="A25" s="41" t="s">
        <v>160</v>
      </c>
      <c r="B25" s="87" t="n">
        <f aca="false">(('Trading Comps'!$B$34*$B$7)-$B$6)/$B$5</f>
        <v>360.947898911481</v>
      </c>
      <c r="C25" s="87" t="n">
        <f aca="false">(('Trading Comps'!$B$33*$B$7)-$B$6)/$B$5</f>
        <v>607.668045596268</v>
      </c>
      <c r="D25" s="87" t="n">
        <f aca="false">(('Trading Comps'!$B$35*$B$7)-$B$6)/$B$5</f>
        <v>2096.59053106142</v>
      </c>
      <c r="E25" s="88" t="n">
        <f aca="false">MIN(B25:D25)</f>
        <v>360.947898911481</v>
      </c>
      <c r="F25" s="88" t="n">
        <f aca="false">MAX(B25:D25)-E25</f>
        <v>1735.64263214994</v>
      </c>
      <c r="G25" s="89" t="n">
        <f aca="false">$B$4</f>
        <v>468.55</v>
      </c>
      <c r="H25" s="90" t="n">
        <f aca="false">$B$30</f>
        <v>468.55</v>
      </c>
      <c r="I25" s="90" t="n">
        <f aca="false">$B$31</f>
        <v>580.345390025422</v>
      </c>
      <c r="J25" s="90" t="n">
        <f aca="false">$B$32</f>
        <v>766.588326321045</v>
      </c>
    </row>
    <row r="26" customFormat="false" ht="15" hidden="false" customHeight="true" outlineLevel="0" collapsed="false">
      <c r="A26" s="41" t="s">
        <v>161</v>
      </c>
      <c r="B26" s="87" t="n">
        <f aca="false">(('Trading Comps'!$C$34*$B$7)-$B$6)/$B$5</f>
        <v>1086.40470635255</v>
      </c>
      <c r="C26" s="87" t="n">
        <f aca="false">(('Trading Comps'!$C$33*$B$7)-$B$6)/$B$5</f>
        <v>2592.18014941646</v>
      </c>
      <c r="D26" s="87" t="n">
        <f aca="false">(('Trading Comps'!$C$35*$B$7)-$B$6)/$B$5</f>
        <v>4738.80772817362</v>
      </c>
      <c r="E26" s="88" t="n">
        <f aca="false">MIN(B26:D26)</f>
        <v>1086.40470635255</v>
      </c>
      <c r="F26" s="88" t="n">
        <f aca="false">MAX(B26:D26)-E26</f>
        <v>3652.40302182107</v>
      </c>
      <c r="G26" s="89" t="n">
        <f aca="false">$B$4</f>
        <v>468.55</v>
      </c>
      <c r="H26" s="90" t="n">
        <f aca="false">$B$30</f>
        <v>468.55</v>
      </c>
      <c r="I26" s="90" t="n">
        <f aca="false">$B$31</f>
        <v>580.345390025422</v>
      </c>
      <c r="J26" s="90" t="n">
        <f aca="false">$B$32</f>
        <v>766.588326321045</v>
      </c>
    </row>
    <row r="27" customFormat="false" ht="15" hidden="false" customHeight="true" outlineLevel="0" collapsed="false">
      <c r="A27" s="41" t="s">
        <v>162</v>
      </c>
      <c r="B27" s="87" t="n">
        <f aca="false">(('Trading Comps'!$D$34*$B$7)-$B$6)/$B$5</f>
        <v>1472.40551448122</v>
      </c>
      <c r="C27" s="87" t="n">
        <f aca="false">(('Trading Comps'!$D$33*$B$7)-$B$6)/$B$5</f>
        <v>4169.7457785156</v>
      </c>
      <c r="D27" s="87" t="n">
        <f aca="false">(('Trading Comps'!$D$35*$B$7)-$B$6)/$B$5</f>
        <v>5079.33377772704</v>
      </c>
      <c r="E27" s="88" t="n">
        <f aca="false">MIN(B27:D27)</f>
        <v>1472.40551448122</v>
      </c>
      <c r="F27" s="88" t="n">
        <f aca="false">MAX(B27:D27)-E27</f>
        <v>3606.92826324582</v>
      </c>
      <c r="G27" s="89" t="n">
        <f aca="false">$B$4</f>
        <v>468.55</v>
      </c>
      <c r="H27" s="90" t="n">
        <f aca="false">$B$30</f>
        <v>468.55</v>
      </c>
      <c r="I27" s="90" t="n">
        <f aca="false">$B$31</f>
        <v>580.345390025422</v>
      </c>
      <c r="J27" s="90" t="n">
        <f aca="false">$B$32</f>
        <v>766.588326321045</v>
      </c>
    </row>
    <row r="28" customFormat="false" ht="15" hidden="false" customHeight="true" outlineLevel="0" collapsed="false">
      <c r="A28" s="81" t="s">
        <v>166</v>
      </c>
      <c r="B28" s="91" t="n">
        <f aca="false">'Trading Comps'!$E$34*$B$11</f>
        <v>279.335789473684</v>
      </c>
      <c r="C28" s="91" t="n">
        <f aca="false">'Trading Comps'!$E$33*$B$11</f>
        <v>498.377423312884</v>
      </c>
      <c r="D28" s="91" t="n">
        <f aca="false">'Trading Comps'!$E$35*$B$11</f>
        <v>1082.74604651163</v>
      </c>
      <c r="E28" s="83" t="n">
        <f aca="false">MIN(B28:D28)</f>
        <v>279.335789473684</v>
      </c>
      <c r="F28" s="83" t="n">
        <f aca="false">MAX(B28:D28)-E28</f>
        <v>803.410257037944</v>
      </c>
      <c r="G28" s="92" t="n">
        <f aca="false">$B$4</f>
        <v>468.55</v>
      </c>
      <c r="H28" s="90" t="n">
        <f aca="false">$B$30</f>
        <v>468.55</v>
      </c>
      <c r="I28" s="90" t="n">
        <f aca="false">$B$31</f>
        <v>580.345390025422</v>
      </c>
      <c r="J28" s="90" t="n">
        <f aca="false">$B$32</f>
        <v>766.588326321045</v>
      </c>
    </row>
    <row r="30" customFormat="false" ht="15" hidden="false" customHeight="true" outlineLevel="0" collapsed="false">
      <c r="A30" s="5" t="s">
        <v>210</v>
      </c>
      <c r="B30" s="93" t="n">
        <f aca="false">$B$4</f>
        <v>468.55</v>
      </c>
    </row>
    <row r="31" customFormat="false" ht="15" hidden="false" customHeight="true" outlineLevel="0" collapsed="false">
      <c r="A31" s="94" t="s">
        <v>211</v>
      </c>
      <c r="B31" s="95" t="n">
        <f aca="false">PERCENTILE(F16:F19,0.25)</f>
        <v>580.345390025422</v>
      </c>
    </row>
    <row r="32" customFormat="false" ht="15" hidden="false" customHeight="true" outlineLevel="0" collapsed="false">
      <c r="A32" s="96" t="s">
        <v>212</v>
      </c>
      <c r="B32" s="97" t="n">
        <f aca="false">PERCENTILE(F16:F19,0.75)</f>
        <v>766.588326321045</v>
      </c>
      <c r="C32" s="68"/>
      <c r="D32" s="68"/>
    </row>
    <row r="34" customFormat="false" ht="23.25" hidden="false" customHeight="true" outlineLevel="0" collapsed="false">
      <c r="A34" s="38" t="s">
        <v>165</v>
      </c>
      <c r="B34" s="39" t="s">
        <v>197</v>
      </c>
      <c r="C34" s="39" t="s">
        <v>198</v>
      </c>
      <c r="D34" s="40" t="s">
        <v>199</v>
      </c>
    </row>
    <row r="35" customFormat="false" ht="15" hidden="false" customHeight="true" outlineLevel="0" collapsed="false">
      <c r="A35" s="61" t="s">
        <v>167</v>
      </c>
      <c r="B35" s="98" t="n">
        <f aca="false">AVERAGE('Trading Comps'!B32*$B$7,'Trading Comps'!C32*$B$8,'Trading Comps'!D32*$B$9,('Trading Comps'!E32*$B$11)+$B$6)</f>
        <v>320166.6812141</v>
      </c>
      <c r="C35" s="98" t="n">
        <f aca="false">B35-$B$6</f>
        <v>295426.6812141</v>
      </c>
      <c r="D35" s="89" t="n">
        <f aca="false">C35/$B$5</f>
        <v>595.150347940329</v>
      </c>
    </row>
    <row r="36" customFormat="false" ht="15" hidden="false" customHeight="true" outlineLevel="0" collapsed="false">
      <c r="A36" s="61" t="s">
        <v>168</v>
      </c>
      <c r="B36" s="99" t="n">
        <f aca="false">AVERAGE('Trading Comps'!B33*$B$7,'Trading Comps'!C33*$B$8,'Trading Comps'!D33*$B$9,('Trading Comps'!E33*$B$11)+$B$6)</f>
        <v>299801.919204669</v>
      </c>
      <c r="C36" s="99" t="n">
        <f aca="false">B36-$B$6</f>
        <v>275061.919204669</v>
      </c>
      <c r="D36" s="100" t="n">
        <f aca="false">C36/$B$5</f>
        <v>554.124618152399</v>
      </c>
    </row>
    <row r="37" customFormat="false" ht="15" hidden="false" customHeight="true" outlineLevel="0" collapsed="false">
      <c r="A37" s="61" t="s">
        <v>169</v>
      </c>
      <c r="B37" s="98" t="n">
        <f aca="false">AVERAGE('Trading Comps'!B34*$B$7,'Trading Comps'!C34*$B$8,'Trading Comps'!D34*$B$9,('Trading Comps'!E34*$B$11)+$B$6)</f>
        <v>140377.169213514</v>
      </c>
      <c r="C37" s="98" t="n">
        <f aca="false">B37-$B$6</f>
        <v>115637.169213514</v>
      </c>
      <c r="D37" s="89" t="n">
        <f aca="false">C37/$B$5</f>
        <v>232.956282788762</v>
      </c>
    </row>
    <row r="38" customFormat="false" ht="15" hidden="false" customHeight="true" outlineLevel="0" collapsed="false">
      <c r="A38" s="64" t="s">
        <v>170</v>
      </c>
      <c r="B38" s="101" t="n">
        <f aca="false">AVERAGE('Trading Comps'!B35*$B$7,'Trading Comps'!C35*$B$8,'Trading Comps'!D35*$B$9,('Trading Comps'!E35*$B$11)+$B$6)</f>
        <v>588111.030496654</v>
      </c>
      <c r="C38" s="101" t="n">
        <f aca="false">B38-$B$6</f>
        <v>563371.030496654</v>
      </c>
      <c r="D38" s="92" t="n">
        <f aca="false">C38/$B$5</f>
        <v>1134.93630108716</v>
      </c>
    </row>
    <row r="40" customFormat="false" ht="15" hidden="false" customHeight="true" outlineLevel="0" collapsed="false">
      <c r="A40" s="5" t="s">
        <v>213</v>
      </c>
      <c r="D40" s="77" t="n">
        <f aca="false">$B$4</f>
        <v>468.55</v>
      </c>
    </row>
    <row r="62" customFormat="false" ht="15" hidden="false" customHeight="true" outlineLevel="0" collapsed="false">
      <c r="A62" s="68" t="s">
        <v>214</v>
      </c>
      <c r="B62" s="68"/>
      <c r="C62" s="68"/>
      <c r="D62" s="68"/>
      <c r="E62" s="68"/>
    </row>
    <row r="64" customFormat="false" ht="15" hidden="false" customHeight="true" outlineLevel="0" collapsed="false">
      <c r="A64" s="38" t="s">
        <v>215</v>
      </c>
      <c r="B64" s="39" t="s">
        <v>216</v>
      </c>
      <c r="C64" s="39" t="s">
        <v>217</v>
      </c>
      <c r="D64" s="39" t="s">
        <v>218</v>
      </c>
      <c r="E64" s="40" t="s">
        <v>219</v>
      </c>
    </row>
    <row r="65" customFormat="false" ht="15" hidden="false" customHeight="true" outlineLevel="0" collapsed="false">
      <c r="A65" s="102" t="n">
        <v>-0.2</v>
      </c>
      <c r="B65" s="87" t="n">
        <f aca="false">(('Trading Comps'!$B$33*(1+$A65)*$B$7)-$B$6)/$B$5</f>
        <v>476.166467742753</v>
      </c>
      <c r="C65" s="87" t="n">
        <f aca="false">(('Trading Comps'!$C$33*(1+$A65)*$B$8)-$B$6)/$B$5</f>
        <v>573.442784075571</v>
      </c>
      <c r="D65" s="87" t="n">
        <f aca="false">(('Trading Comps'!$D$33*(1+$A65)*$B$9)-$B$6)/$B$5</f>
        <v>692.882417063585</v>
      </c>
      <c r="E65" s="89" t="n">
        <f aca="false">('Trading Comps'!$E$33*(1+$A65))*$B$11</f>
        <v>398.701938650307</v>
      </c>
    </row>
    <row r="66" customFormat="false" ht="15" hidden="false" customHeight="true" outlineLevel="0" collapsed="false">
      <c r="A66" s="102" t="n">
        <v>-0.1</v>
      </c>
      <c r="B66" s="87" t="n">
        <f aca="false">(('Trading Comps'!$B$33*(1+$A66)*$B$7)-$B$6)/$B$5</f>
        <v>541.917256669511</v>
      </c>
      <c r="C66" s="87" t="n">
        <f aca="false">(('Trading Comps'!$C$33*(1+$A66)*$B$8)-$B$6)/$B$5</f>
        <v>651.353112543931</v>
      </c>
      <c r="D66" s="87" t="n">
        <f aca="false">(('Trading Comps'!$D$33*(1+$A66)*$B$9)-$B$6)/$B$5</f>
        <v>785.722699655446</v>
      </c>
      <c r="E66" s="89" t="n">
        <f aca="false">('Trading Comps'!$E$33*(1+$A66))*$B$11</f>
        <v>448.539680981595</v>
      </c>
    </row>
    <row r="67" customFormat="false" ht="15" hidden="false" customHeight="true" outlineLevel="0" collapsed="false">
      <c r="A67" s="103" t="n">
        <v>0</v>
      </c>
      <c r="B67" s="104" t="n">
        <f aca="false">(('Trading Comps'!$B$33*(1+$A67)*$B$7)-$B$6)/$B$5</f>
        <v>607.668045596268</v>
      </c>
      <c r="C67" s="104" t="n">
        <f aca="false">(('Trading Comps'!$C$33*(1+$A67)*$B$8)-$B$6)/$B$5</f>
        <v>729.263441012291</v>
      </c>
      <c r="D67" s="104" t="n">
        <f aca="false">(('Trading Comps'!$D$33*(1+$A67)*$B$9)-$B$6)/$B$5</f>
        <v>878.562982247307</v>
      </c>
      <c r="E67" s="100" t="n">
        <f aca="false">('Trading Comps'!$E$33*(1+$A67))*$B$11</f>
        <v>498.377423312884</v>
      </c>
    </row>
    <row r="68" customFormat="false" ht="15" hidden="false" customHeight="true" outlineLevel="0" collapsed="false">
      <c r="A68" s="102" t="n">
        <v>0.1</v>
      </c>
      <c r="B68" s="87" t="n">
        <f aca="false">(('Trading Comps'!$B$33*(1+$A68)*$B$7)-$B$6)/$B$5</f>
        <v>673.418834523026</v>
      </c>
      <c r="C68" s="87" t="n">
        <f aca="false">(('Trading Comps'!$C$33*(1+$A68)*$B$8)-$B$6)/$B$5</f>
        <v>807.173769480651</v>
      </c>
      <c r="D68" s="87" t="n">
        <f aca="false">(('Trading Comps'!$D$33*(1+$A68)*$B$9)-$B$6)/$B$5</f>
        <v>971.403264839169</v>
      </c>
      <c r="E68" s="89" t="n">
        <f aca="false">('Trading Comps'!$E$33*(1+$A68))*$B$11</f>
        <v>548.215165644172</v>
      </c>
    </row>
    <row r="69" customFormat="false" ht="15" hidden="false" customHeight="true" outlineLevel="0" collapsed="false">
      <c r="A69" s="105" t="n">
        <v>0.2</v>
      </c>
      <c r="B69" s="91" t="n">
        <f aca="false">(('Trading Comps'!$B$33*(1+$A69)*$B$7)-$B$6)/$B$5</f>
        <v>739.169623449783</v>
      </c>
      <c r="C69" s="91" t="n">
        <f aca="false">(('Trading Comps'!$C$33*(1+$A69)*$B$8)-$B$6)/$B$5</f>
        <v>885.08409794901</v>
      </c>
      <c r="D69" s="91" t="n">
        <f aca="false">(('Trading Comps'!$D$33*(1+$A69)*$B$9)-$B$6)/$B$5</f>
        <v>1064.24354743103</v>
      </c>
      <c r="E69" s="92" t="n">
        <f aca="false">('Trading Comps'!$E$33*(1+$A69))*$B$11</f>
        <v>598.05290797546</v>
      </c>
    </row>
    <row r="71" customFormat="false" ht="25.5" hidden="false" customHeight="true" outlineLevel="0" collapsed="false">
      <c r="A71" s="9" t="s">
        <v>220</v>
      </c>
    </row>
    <row r="73" customFormat="false" ht="15" hidden="false" customHeight="true" outlineLevel="0" collapsed="false">
      <c r="A73" s="68" t="s">
        <v>221</v>
      </c>
      <c r="B73" s="68"/>
      <c r="C73" s="68"/>
      <c r="D73" s="68"/>
      <c r="E73" s="68"/>
    </row>
    <row r="75" customFormat="false" ht="15" hidden="false" customHeight="true" outlineLevel="0" collapsed="false">
      <c r="A75" s="10" t="s">
        <v>222</v>
      </c>
      <c r="B75" s="106" t="n">
        <f aca="false">($B$4-D36)/D36</f>
        <v>-0.154432081429133</v>
      </c>
      <c r="C75" s="107" t="str">
        <f aca="false">CONCATENATE("LVMH shares trade at a ",TEXT(ABS(B75),"0.0%")," ",IF(B75&lt;0,"discount","premium")," to the peer-implied median (EUR ",TEXT($B$4,"0.00")," actual vs. EUR ",TEXT(D36,"0.00")," median-implied), reflecting the market's view of LVMH as a diversified, mega-cap house rather than a scarce, single-Maison asset.")</f>
        <v>LVMH shares trade at a 15.4% discount to the peer-implied median (EUR 468.55 actual vs. EUR 554.12 median-implied), reflecting the market's view of LVMH as a diversified, mega-cap house rather than a scarce, single-Maison asset.</v>
      </c>
      <c r="D75" s="107"/>
      <c r="E75" s="107"/>
      <c r="F75" s="107"/>
      <c r="G75" s="107"/>
    </row>
    <row r="76" customFormat="false" ht="60" hidden="false" customHeight="true" outlineLevel="0" collapsed="false">
      <c r="A76" s="94" t="s">
        <v>223</v>
      </c>
      <c r="B76" s="29" t="s">
        <v>224</v>
      </c>
      <c r="C76" s="29"/>
      <c r="D76" s="29"/>
      <c r="E76" s="29"/>
      <c r="F76" s="29"/>
    </row>
    <row r="77" customFormat="false" ht="31.5" hidden="false" customHeight="true" outlineLevel="0" collapsed="false">
      <c r="B77" s="108"/>
      <c r="C77" s="108"/>
      <c r="D77" s="108"/>
      <c r="E77" s="108"/>
      <c r="F77" s="108"/>
      <c r="G77" s="108"/>
    </row>
    <row r="79" customFormat="false" ht="31.5" hidden="false" customHeight="true" outlineLevel="0" collapsed="false">
      <c r="A79" s="10" t="s">
        <v>225</v>
      </c>
      <c r="B79" s="107" t="s">
        <v>226</v>
      </c>
      <c r="C79" s="107"/>
      <c r="D79" s="107"/>
      <c r="E79" s="107"/>
      <c r="F79" s="107"/>
      <c r="G79" s="107"/>
    </row>
    <row r="81" customFormat="false" ht="31.5" hidden="false" customHeight="true" outlineLevel="0" collapsed="false">
      <c r="A81" s="10" t="s">
        <v>227</v>
      </c>
      <c r="B81" s="107" t="s">
        <v>228</v>
      </c>
      <c r="C81" s="107"/>
      <c r="D81" s="107"/>
      <c r="E81" s="107"/>
      <c r="F81" s="107"/>
      <c r="G81" s="107"/>
    </row>
    <row r="83" customFormat="false" ht="247.5" hidden="false" customHeight="true" outlineLevel="0" collapsed="false">
      <c r="A83" s="10" t="s">
        <v>229</v>
      </c>
      <c r="B83" s="109" t="s">
        <v>230</v>
      </c>
    </row>
  </sheetData>
  <mergeCells count="5">
    <mergeCell ref="C75:G75"/>
    <mergeCell ref="B76:F76"/>
    <mergeCell ref="B77:G77"/>
    <mergeCell ref="B79:G79"/>
    <mergeCell ref="B81:G81"/>
  </mergeCells>
  <printOptions headings="false" gridLines="false" gridLinesSet="true" horizontalCentered="true" verticalCentered="false"/>
  <pageMargins left="0.4" right="0.4" top="0.5" bottom="0.5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LVMH Comparable Companies Analysis&amp;C&amp;8 Prepared by: Supraja Chinareddy  |  Strictly Private Confidential&amp;R&amp;8 Version 1.0  |  Aug 06, 2026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5" min="2" style="1" width="10"/>
    <col collapsed="false" customWidth="true" hidden="false" outlineLevel="0" max="6" min="6" style="1" width="44"/>
    <col collapsed="false" customWidth="true" hidden="false" outlineLevel="0" max="8" min="7" style="1" width="10"/>
  </cols>
  <sheetData>
    <row r="1" customFormat="false" ht="15" hidden="false" customHeight="true" outlineLevel="0" collapsed="false">
      <c r="A1" s="2" t="s">
        <v>231</v>
      </c>
    </row>
    <row r="3" customFormat="false" ht="15" hidden="false" customHeight="true" outlineLevel="0" collapsed="false">
      <c r="A3" s="68" t="s">
        <v>232</v>
      </c>
      <c r="B3" s="68"/>
      <c r="C3" s="68"/>
      <c r="D3" s="68"/>
      <c r="E3" s="68"/>
      <c r="F3" s="68"/>
    </row>
    <row r="5" customFormat="false" ht="23.25" hidden="false" customHeight="true" outlineLevel="0" collapsed="false">
      <c r="A5" s="38" t="s">
        <v>76</v>
      </c>
      <c r="B5" s="39" t="s">
        <v>233</v>
      </c>
      <c r="C5" s="39" t="s">
        <v>234</v>
      </c>
      <c r="D5" s="39"/>
      <c r="E5" s="39"/>
      <c r="F5" s="39"/>
    </row>
    <row r="6" customFormat="false" ht="15" hidden="false" customHeight="true" outlineLevel="0" collapsed="false">
      <c r="A6" s="41" t="s">
        <v>81</v>
      </c>
      <c r="B6" s="44" t="n">
        <v>75</v>
      </c>
      <c r="C6" s="110" t="s">
        <v>235</v>
      </c>
      <c r="D6" s="110"/>
      <c r="E6" s="110"/>
      <c r="F6" s="110"/>
    </row>
    <row r="7" customFormat="false" ht="15" hidden="false" customHeight="true" outlineLevel="0" collapsed="false">
      <c r="A7" s="41" t="s">
        <v>85</v>
      </c>
      <c r="B7" s="44" t="n">
        <v>1</v>
      </c>
      <c r="C7" s="110" t="s">
        <v>236</v>
      </c>
      <c r="D7" s="110"/>
      <c r="E7" s="110"/>
      <c r="F7" s="110"/>
    </row>
    <row r="8" customFormat="false" ht="15" hidden="false" customHeight="true" outlineLevel="0" collapsed="false">
      <c r="A8" s="41" t="s">
        <v>87</v>
      </c>
      <c r="B8" s="44" t="n">
        <v>7</v>
      </c>
      <c r="C8" s="110" t="s">
        <v>237</v>
      </c>
      <c r="D8" s="110"/>
      <c r="E8" s="110"/>
      <c r="F8" s="110"/>
    </row>
    <row r="9" customFormat="false" ht="15" hidden="false" customHeight="true" outlineLevel="0" collapsed="false">
      <c r="A9" s="41" t="s">
        <v>90</v>
      </c>
      <c r="B9" s="44" t="n">
        <v>20</v>
      </c>
      <c r="C9" s="110" t="s">
        <v>238</v>
      </c>
      <c r="D9" s="110"/>
      <c r="E9" s="110"/>
      <c r="F9" s="110"/>
    </row>
    <row r="10" customFormat="false" ht="15" hidden="false" customHeight="true" outlineLevel="0" collapsed="false">
      <c r="A10" s="41" t="s">
        <v>94</v>
      </c>
      <c r="B10" s="44" t="n">
        <v>4</v>
      </c>
      <c r="C10" s="110" t="s">
        <v>239</v>
      </c>
      <c r="D10" s="110"/>
      <c r="E10" s="110"/>
      <c r="F10" s="110"/>
    </row>
    <row r="11" customFormat="false" ht="15" hidden="false" customHeight="true" outlineLevel="0" collapsed="false">
      <c r="A11" s="41" t="s">
        <v>98</v>
      </c>
      <c r="B11" s="44" t="n">
        <v>2</v>
      </c>
      <c r="C11" s="110" t="s">
        <v>240</v>
      </c>
      <c r="D11" s="110"/>
      <c r="E11" s="110"/>
      <c r="F11" s="110"/>
    </row>
    <row r="12" customFormat="false" ht="15" hidden="false" customHeight="true" outlineLevel="0" collapsed="false">
      <c r="A12" s="81" t="s">
        <v>101</v>
      </c>
      <c r="B12" s="111" t="n">
        <v>1</v>
      </c>
      <c r="C12" s="112" t="s">
        <v>241</v>
      </c>
      <c r="D12" s="112"/>
      <c r="E12" s="112"/>
      <c r="F12" s="112"/>
    </row>
    <row r="15" customFormat="false" ht="15" hidden="false" customHeight="true" outlineLevel="0" collapsed="false">
      <c r="A15" s="68" t="s">
        <v>242</v>
      </c>
      <c r="B15" s="68"/>
      <c r="C15" s="68"/>
      <c r="D15" s="68"/>
      <c r="E15" s="68"/>
      <c r="F15" s="68"/>
    </row>
    <row r="17" customFormat="false" ht="23.25" hidden="false" customHeight="true" outlineLevel="0" collapsed="false">
      <c r="A17" s="38" t="s">
        <v>76</v>
      </c>
      <c r="B17" s="39" t="s">
        <v>243</v>
      </c>
      <c r="C17" s="39" t="s">
        <v>244</v>
      </c>
      <c r="D17" s="39" t="s">
        <v>245</v>
      </c>
      <c r="E17" s="40" t="s">
        <v>246</v>
      </c>
    </row>
    <row r="18" customFormat="false" ht="15" hidden="false" customHeight="true" outlineLevel="0" collapsed="false">
      <c r="A18" s="41" t="s">
        <v>81</v>
      </c>
      <c r="B18" s="113" t="n">
        <v>0.35</v>
      </c>
      <c r="C18" s="113" t="n">
        <v>0.25</v>
      </c>
      <c r="D18" s="113" t="n">
        <v>0.34</v>
      </c>
      <c r="E18" s="114" t="n">
        <v>0.06</v>
      </c>
    </row>
    <row r="19" customFormat="false" ht="15" hidden="false" customHeight="true" outlineLevel="0" collapsed="false">
      <c r="A19" s="41" t="s">
        <v>85</v>
      </c>
      <c r="B19" s="113" t="n">
        <v>0.25</v>
      </c>
      <c r="C19" s="113" t="n">
        <v>0.18</v>
      </c>
      <c r="D19" s="113" t="n">
        <v>0.5</v>
      </c>
      <c r="E19" s="114" t="n">
        <v>0.07</v>
      </c>
    </row>
    <row r="20" customFormat="false" ht="15" hidden="false" customHeight="true" outlineLevel="0" collapsed="false">
      <c r="A20" s="41" t="s">
        <v>87</v>
      </c>
      <c r="B20" s="113" t="n">
        <v>0.22</v>
      </c>
      <c r="C20" s="113" t="n">
        <v>0.22</v>
      </c>
      <c r="D20" s="113" t="n">
        <v>0.48</v>
      </c>
      <c r="E20" s="114" t="n">
        <v>0.08</v>
      </c>
    </row>
    <row r="21" customFormat="false" ht="15" hidden="false" customHeight="true" outlineLevel="0" collapsed="false">
      <c r="A21" s="41" t="s">
        <v>90</v>
      </c>
      <c r="B21" s="113" t="n">
        <v>0.23</v>
      </c>
      <c r="C21" s="113" t="n">
        <v>0.19</v>
      </c>
      <c r="D21" s="113" t="n">
        <v>0.45</v>
      </c>
      <c r="E21" s="114" t="n">
        <v>0.13</v>
      </c>
    </row>
    <row r="22" customFormat="false" ht="15" hidden="false" customHeight="true" outlineLevel="0" collapsed="false">
      <c r="A22" s="41" t="s">
        <v>94</v>
      </c>
      <c r="B22" s="113" t="n">
        <v>0.2</v>
      </c>
      <c r="C22" s="113" t="n">
        <v>0.15</v>
      </c>
      <c r="D22" s="113" t="n">
        <v>0.58</v>
      </c>
      <c r="E22" s="114" t="n">
        <v>0.07</v>
      </c>
    </row>
    <row r="23" customFormat="false" ht="15" hidden="false" customHeight="true" outlineLevel="0" collapsed="false">
      <c r="A23" s="41" t="s">
        <v>98</v>
      </c>
      <c r="B23" s="113" t="n">
        <v>0.35</v>
      </c>
      <c r="C23" s="113" t="n">
        <v>0.15</v>
      </c>
      <c r="D23" s="113" t="n">
        <v>0.45</v>
      </c>
      <c r="E23" s="114" t="n">
        <v>0.05</v>
      </c>
    </row>
    <row r="24" customFormat="false" ht="15" hidden="false" customHeight="true" outlineLevel="0" collapsed="false">
      <c r="A24" s="81" t="s">
        <v>101</v>
      </c>
      <c r="B24" s="115" t="n">
        <v>0.35</v>
      </c>
      <c r="C24" s="115" t="n">
        <v>0.35</v>
      </c>
      <c r="D24" s="115" t="n">
        <v>0.25</v>
      </c>
      <c r="E24" s="116" t="n">
        <v>0.05</v>
      </c>
    </row>
    <row r="26" customFormat="false" ht="27.75" hidden="false" customHeight="true" outlineLevel="0" collapsed="false">
      <c r="A26" s="117" t="s">
        <v>247</v>
      </c>
      <c r="B26" s="117"/>
      <c r="C26" s="117"/>
      <c r="D26" s="117"/>
      <c r="E26" s="117"/>
      <c r="F26" s="117"/>
    </row>
    <row r="28" customFormat="false" ht="15" hidden="false" customHeight="true" outlineLevel="0" collapsed="false">
      <c r="A28" s="68" t="s">
        <v>248</v>
      </c>
      <c r="B28" s="68"/>
      <c r="C28" s="68"/>
      <c r="D28" s="68"/>
      <c r="E28" s="68"/>
      <c r="F28" s="68"/>
    </row>
    <row r="30" customFormat="false" ht="45.75" hidden="false" customHeight="true" outlineLevel="0" collapsed="false">
      <c r="A30" s="38" t="s">
        <v>76</v>
      </c>
      <c r="B30" s="39" t="s">
        <v>173</v>
      </c>
      <c r="C30" s="39" t="s">
        <v>249</v>
      </c>
      <c r="D30" s="40" t="s">
        <v>250</v>
      </c>
    </row>
    <row r="31" customFormat="false" ht="15" hidden="false" customHeight="true" outlineLevel="0" collapsed="false">
      <c r="A31" s="118" t="s">
        <v>81</v>
      </c>
      <c r="B31" s="119" t="n">
        <f aca="false">'Trading Comps'!B48</f>
        <v>-0.045701464336325</v>
      </c>
      <c r="C31" s="119" t="n">
        <f aca="false">'Trading Comps'!D48</f>
        <v>0.220022274470981</v>
      </c>
      <c r="D31" s="120" t="n">
        <f aca="false">'Trading Comps'!B26</f>
        <v>232583.5345</v>
      </c>
    </row>
    <row r="32" customFormat="false" ht="15" hidden="false" customHeight="true" outlineLevel="0" collapsed="false">
      <c r="A32" s="41" t="s">
        <v>85</v>
      </c>
      <c r="B32" s="121" t="n">
        <f aca="false">'Trading Comps'!B41</f>
        <v>0.0632827949901121</v>
      </c>
      <c r="C32" s="121" t="n">
        <f aca="false">'Trading Comps'!D41</f>
        <v>0.41847489150651</v>
      </c>
      <c r="D32" s="122" t="n">
        <f aca="false">'Trading Comps'!B19</f>
        <v>222701.4</v>
      </c>
    </row>
    <row r="33" customFormat="false" ht="15" hidden="false" customHeight="true" outlineLevel="0" collapsed="false">
      <c r="A33" s="41" t="s">
        <v>87</v>
      </c>
      <c r="B33" s="121" t="n">
        <f aca="false">'Trading Comps'!B42</f>
        <v>-0.129816241849437</v>
      </c>
      <c r="C33" s="121" t="n">
        <f aca="false">'Trading Comps'!D42</f>
        <v>0.111035422343324</v>
      </c>
      <c r="D33" s="122" t="n">
        <f aca="false">'Trading Comps'!B20</f>
        <v>35726.565</v>
      </c>
    </row>
    <row r="34" customFormat="false" ht="15" hidden="false" customHeight="true" outlineLevel="0" collapsed="false">
      <c r="A34" s="41" t="s">
        <v>90</v>
      </c>
      <c r="B34" s="121" t="n">
        <f aca="false">'Trading Comps'!B43</f>
        <v>0.0379695636786491</v>
      </c>
      <c r="C34" s="121" t="n">
        <f aca="false">'Trading Comps'!D43</f>
        <v>0.211690209449586</v>
      </c>
      <c r="D34" s="122" t="n">
        <f aca="false">'Trading Comps'!B21</f>
        <v>87307.4304</v>
      </c>
    </row>
    <row r="35" customFormat="false" ht="15" hidden="false" customHeight="true" outlineLevel="0" collapsed="false">
      <c r="A35" s="41" t="s">
        <v>94</v>
      </c>
      <c r="B35" s="121" t="n">
        <f aca="false">'Trading Comps'!B44</f>
        <v>0.0574140408394552</v>
      </c>
      <c r="C35" s="121" t="n">
        <f aca="false">'Trading Comps'!D44</f>
        <v>0.269856459330144</v>
      </c>
      <c r="D35" s="122" t="n">
        <f aca="false">'Trading Comps'!B22</f>
        <v>99174.4</v>
      </c>
    </row>
    <row r="36" customFormat="false" ht="15" hidden="false" customHeight="true" outlineLevel="0" collapsed="false">
      <c r="A36" s="41" t="s">
        <v>98</v>
      </c>
      <c r="B36" s="121" t="n">
        <f aca="false">'Trading Comps'!B45</f>
        <v>0.0223642172523962</v>
      </c>
      <c r="C36" s="121" t="n">
        <f aca="false">'Trading Comps'!D45</f>
        <v>0.183125</v>
      </c>
      <c r="D36" s="122" t="n">
        <f aca="false">'Trading Comps'!B23</f>
        <v>12860.26</v>
      </c>
    </row>
    <row r="37" customFormat="false" ht="15" hidden="false" customHeight="true" outlineLevel="0" collapsed="false">
      <c r="A37" s="41" t="s">
        <v>101</v>
      </c>
      <c r="B37" s="121" t="n">
        <f aca="false">'Trading Comps'!B46</f>
        <v>0.0992537313432836</v>
      </c>
      <c r="C37" s="121" t="n">
        <f aca="false">'Trading Comps'!D46</f>
        <v>0.150033944331297</v>
      </c>
      <c r="D37" s="122" t="n">
        <f aca="false">'Trading Comps'!B24</f>
        <v>5848</v>
      </c>
    </row>
    <row r="38" customFormat="false" ht="15" hidden="false" customHeight="true" outlineLevel="0" collapsed="false">
      <c r="A38" s="123"/>
      <c r="B38" s="124"/>
      <c r="C38" s="124"/>
      <c r="D38" s="125"/>
    </row>
    <row r="40" customFormat="false" ht="25.5" hidden="false" customHeight="true" outlineLevel="0" collapsed="false">
      <c r="A40" s="126" t="s">
        <v>251</v>
      </c>
      <c r="B40" s="126"/>
      <c r="C40" s="126"/>
      <c r="D40" s="126"/>
      <c r="E40" s="126"/>
      <c r="F40" s="126"/>
    </row>
    <row r="42" customFormat="false" ht="15" hidden="false" customHeight="true" outlineLevel="0" collapsed="false">
      <c r="A42" s="13" t="s">
        <v>252</v>
      </c>
      <c r="B42" s="14"/>
      <c r="C42" s="14"/>
      <c r="D42" s="14"/>
      <c r="E42" s="14"/>
    </row>
    <row r="43" customFormat="false" ht="27.75" hidden="false" customHeight="true" outlineLevel="0" collapsed="false">
      <c r="A43" s="29" t="s">
        <v>253</v>
      </c>
      <c r="B43" s="29"/>
      <c r="C43" s="29"/>
      <c r="D43" s="29"/>
      <c r="E43" s="29"/>
    </row>
    <row r="44" customFormat="false" ht="27.75" hidden="false" customHeight="true" outlineLevel="0" collapsed="false">
      <c r="A44" s="29" t="s">
        <v>254</v>
      </c>
      <c r="B44" s="29"/>
      <c r="C44" s="29"/>
      <c r="D44" s="29"/>
      <c r="E44" s="29"/>
    </row>
    <row r="45" customFormat="false" ht="27.75" hidden="false" customHeight="true" outlineLevel="0" collapsed="false">
      <c r="A45" s="29" t="s">
        <v>255</v>
      </c>
      <c r="B45" s="29"/>
      <c r="C45" s="29"/>
      <c r="D45" s="29"/>
      <c r="E45" s="29"/>
    </row>
    <row r="46" customFormat="false" ht="27.75" hidden="false" customHeight="true" outlineLevel="0" collapsed="false">
      <c r="A46" s="29" t="s">
        <v>256</v>
      </c>
      <c r="B46" s="29"/>
      <c r="C46" s="29"/>
      <c r="D46" s="29"/>
      <c r="E46" s="29"/>
    </row>
  </sheetData>
  <mergeCells count="14">
    <mergeCell ref="C5:F5"/>
    <mergeCell ref="C6:F6"/>
    <mergeCell ref="C7:F7"/>
    <mergeCell ref="C8:F8"/>
    <mergeCell ref="C9:F9"/>
    <mergeCell ref="C10:F10"/>
    <mergeCell ref="C11:F11"/>
    <mergeCell ref="C12:F12"/>
    <mergeCell ref="A26:F26"/>
    <mergeCell ref="A40:F40"/>
    <mergeCell ref="A43:E43"/>
    <mergeCell ref="A44:E44"/>
    <mergeCell ref="A45:E45"/>
    <mergeCell ref="A46:E46"/>
  </mergeCells>
  <printOptions headings="false" gridLines="false" gridLinesSet="true" horizontalCentered="true" verticalCentered="false"/>
  <pageMargins left="0.4" right="0.4" top="0.5" bottom="0.5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LVMH Comparable Companies Analysis&amp;C&amp;8 Prepared by: Supraja Chinareddy  |  Strictly Private Confidential&amp;R&amp;8 Version 1.0  |  Aug 06, 2026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2026-08-06T10:29:14Z</dcterms:created>
  <dc:creator>Supraja Chinareddy</dc:creator>
  <dc:description/>
  <dc:language>en-US</dc:language>
  <cp:lastModifiedBy/>
  <dcterms:modified xsi:type="dcterms:W3CDTF">2026-08-06T11:22:43Z</dcterms:modified>
  <cp:revision>15</cp:revision>
  <dc:subject>Trading Comps / Implied Valuation</dc:subject>
  <dc:title>LVMH - Comparable Companies Analysis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